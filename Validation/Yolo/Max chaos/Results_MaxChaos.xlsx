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culdade\TCC\Projeto\survision\Validation\Yolo\Max chaos\"/>
    </mc:Choice>
  </mc:AlternateContent>
  <xr:revisionPtr revIDLastSave="0" documentId="13_ncr:1_{4057CE3F-E0ED-4CE5-B0F8-574AFA20DF7F}" xr6:coauthVersionLast="47" xr6:coauthVersionMax="47" xr10:uidLastSave="{00000000-0000-0000-0000-000000000000}"/>
  <bookViews>
    <workbookView xWindow="-120" yWindow="-120" windowWidth="29040" windowHeight="15720" activeTab="6" xr2:uid="{488473F3-2F78-4DE6-BFA3-32B6303924AC}"/>
  </bookViews>
  <sheets>
    <sheet name="rodada 1" sheetId="1" r:id="rId1"/>
    <sheet name="rodada 2" sheetId="3" r:id="rId2"/>
    <sheet name="rodada 3" sheetId="6" r:id="rId3"/>
    <sheet name="rodada 4" sheetId="7" r:id="rId4"/>
    <sheet name="Rodada_5_Yolo" sheetId="16" r:id="rId5"/>
    <sheet name="rodada 5" sheetId="9" r:id="rId6"/>
    <sheet name="resumo" sheetId="10" r:id="rId7"/>
  </sheets>
  <definedNames>
    <definedName name="DadosExternos_1" localSheetId="4" hidden="1">'Rodada_5_Yolo'!$A$1:$T$31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7" l="1"/>
  <c r="C33" i="9"/>
  <c r="D33" i="9"/>
  <c r="E33" i="9"/>
  <c r="F33" i="9"/>
  <c r="G33" i="9"/>
  <c r="H33" i="9"/>
  <c r="I33" i="9"/>
  <c r="J33" i="9"/>
  <c r="K33" i="9"/>
  <c r="L33" i="9"/>
  <c r="M33" i="9"/>
  <c r="K35" i="9" s="1"/>
  <c r="N33" i="9"/>
  <c r="O33" i="9"/>
  <c r="P33" i="9"/>
  <c r="Q33" i="9"/>
  <c r="Q35" i="9" s="1"/>
  <c r="R33" i="9"/>
  <c r="S33" i="9"/>
  <c r="B33" i="9"/>
  <c r="B35" i="9" s="1"/>
  <c r="C30" i="7"/>
  <c r="D30" i="7"/>
  <c r="E30" i="7"/>
  <c r="F30" i="7"/>
  <c r="G30" i="7"/>
  <c r="H30" i="7"/>
  <c r="I30" i="7"/>
  <c r="J30" i="7"/>
  <c r="K30" i="7"/>
  <c r="K31" i="7" s="1"/>
  <c r="L30" i="7"/>
  <c r="M30" i="7"/>
  <c r="N30" i="7"/>
  <c r="O30" i="7"/>
  <c r="P30" i="7"/>
  <c r="Q30" i="7"/>
  <c r="R30" i="7"/>
  <c r="S30" i="7"/>
  <c r="B30" i="7"/>
  <c r="B32" i="7" s="1"/>
  <c r="C44" i="6"/>
  <c r="D44" i="6"/>
  <c r="E44" i="6"/>
  <c r="E45" i="6" s="1"/>
  <c r="F44" i="6"/>
  <c r="G44" i="6"/>
  <c r="H44" i="6"/>
  <c r="H45" i="6" s="1"/>
  <c r="I44" i="6"/>
  <c r="J44" i="6"/>
  <c r="K44" i="6"/>
  <c r="L44" i="6"/>
  <c r="M44" i="6"/>
  <c r="N44" i="6"/>
  <c r="O44" i="6"/>
  <c r="P44" i="6"/>
  <c r="Q44" i="6"/>
  <c r="R44" i="6"/>
  <c r="S44" i="6"/>
  <c r="B44" i="6"/>
  <c r="B46" i="6" s="1"/>
  <c r="C35" i="3"/>
  <c r="D35" i="3"/>
  <c r="E35" i="3"/>
  <c r="E37" i="3" s="1"/>
  <c r="F35" i="3"/>
  <c r="G35" i="3"/>
  <c r="H35" i="3"/>
  <c r="H36" i="3" s="1"/>
  <c r="I35" i="3"/>
  <c r="J35" i="3"/>
  <c r="K35" i="3"/>
  <c r="L35" i="3"/>
  <c r="K36" i="3" s="1"/>
  <c r="M35" i="3"/>
  <c r="N35" i="3"/>
  <c r="O35" i="3"/>
  <c r="P35" i="3"/>
  <c r="Q35" i="3"/>
  <c r="Q36" i="3" s="1"/>
  <c r="R35" i="3"/>
  <c r="S35" i="3"/>
  <c r="B35" i="3"/>
  <c r="B37" i="3" s="1"/>
  <c r="C37" i="1"/>
  <c r="C3" i="10" s="1"/>
  <c r="D37" i="1"/>
  <c r="E37" i="1"/>
  <c r="F37" i="1"/>
  <c r="G37" i="1"/>
  <c r="H37" i="1"/>
  <c r="I37" i="1"/>
  <c r="J37" i="1"/>
  <c r="K37" i="1"/>
  <c r="K3" i="10" s="1"/>
  <c r="L37" i="1"/>
  <c r="M37" i="1"/>
  <c r="N37" i="1"/>
  <c r="O37" i="1"/>
  <c r="P37" i="1"/>
  <c r="Q37" i="1"/>
  <c r="R37" i="1"/>
  <c r="S37" i="1"/>
  <c r="S3" i="10" s="1"/>
  <c r="B37" i="1"/>
  <c r="N35" i="9" l="1"/>
  <c r="K34" i="9"/>
  <c r="E34" i="9"/>
  <c r="H35" i="9"/>
  <c r="B34" i="9"/>
  <c r="H34" i="9"/>
  <c r="N34" i="9"/>
  <c r="E35" i="9"/>
  <c r="Q34" i="9"/>
  <c r="Q31" i="7"/>
  <c r="E32" i="7"/>
  <c r="N31" i="7"/>
  <c r="K32" i="7"/>
  <c r="H31" i="7"/>
  <c r="Q32" i="7"/>
  <c r="H32" i="7"/>
  <c r="E31" i="7"/>
  <c r="N32" i="7"/>
  <c r="K45" i="6"/>
  <c r="E46" i="6"/>
  <c r="Q46" i="6"/>
  <c r="N46" i="6"/>
  <c r="B45" i="6"/>
  <c r="K46" i="6"/>
  <c r="N45" i="6"/>
  <c r="Q45" i="6"/>
  <c r="J3" i="10"/>
  <c r="H46" i="6"/>
  <c r="R3" i="10"/>
  <c r="O3" i="10"/>
  <c r="G3" i="10"/>
  <c r="N37" i="3"/>
  <c r="K37" i="3"/>
  <c r="N36" i="3"/>
  <c r="N3" i="10"/>
  <c r="F3" i="10"/>
  <c r="M3" i="10"/>
  <c r="K5" i="10" s="1"/>
  <c r="E3" i="10"/>
  <c r="Q37" i="3"/>
  <c r="H37" i="3"/>
  <c r="Q3" i="10"/>
  <c r="I3" i="10"/>
  <c r="E36" i="3"/>
  <c r="B36" i="3"/>
  <c r="P3" i="10"/>
  <c r="H3" i="10"/>
  <c r="B3" i="10"/>
  <c r="B4" i="10" s="1"/>
  <c r="L3" i="10"/>
  <c r="K4" i="10" s="1"/>
  <c r="D3" i="10"/>
  <c r="B38" i="1"/>
  <c r="N38" i="1"/>
  <c r="N39" i="1"/>
  <c r="K39" i="1"/>
  <c r="H39" i="1"/>
  <c r="K38" i="1"/>
  <c r="E39" i="1"/>
  <c r="Q38" i="1"/>
  <c r="H38" i="1"/>
  <c r="E38" i="1"/>
  <c r="B39" i="1"/>
  <c r="Q39" i="1"/>
  <c r="Q4" i="10" l="1"/>
  <c r="E5" i="10"/>
  <c r="Q5" i="10"/>
  <c r="H4" i="10"/>
  <c r="N5" i="10"/>
  <c r="N4" i="10"/>
  <c r="E4" i="10"/>
  <c r="H5" i="10"/>
  <c r="B5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805A31-F3C5-40B3-BD65-C9A6DBA8BA5B}" keepAlive="1" name="Consulta - Rodada_1" description="Conexão com a consulta 'Rodada_1' na pasta de trabalho." type="5" refreshedVersion="0" background="1">
    <dbPr connection="Provider=Microsoft.Mashup.OleDb.1;Data Source=$Workbook$;Location=Rodada_1;Extended Properties=&quot;&quot;" command="SELECT * FROM [Rodada_1]"/>
  </connection>
  <connection id="2" xr16:uid="{184D29E8-DEC2-423A-861E-BB47289CBE5D}" keepAlive="1" name="Consulta - Rodada_1_Yolo" description="Conexão com a consulta 'Rodada_1_Yolo' na pasta de trabalho." type="5" refreshedVersion="0" background="1">
    <dbPr connection="Provider=Microsoft.Mashup.OleDb.1;Data Source=$Workbook$;Location=Rodada_1_Yolo;Extended Properties=&quot;&quot;" command="SELECT * FROM [Rodada_1_Yolo]"/>
  </connection>
  <connection id="3" xr16:uid="{A112DFCF-6D49-4A80-8EB2-D901F3ADCAFE}" keepAlive="1" name="Consulta - Rodada_1_Yolo (2)" description="Conexão com a consulta 'Rodada_1_Yolo (2)' na pasta de trabalho." type="5" refreshedVersion="0" background="1">
    <dbPr connection="Provider=Microsoft.Mashup.OleDb.1;Data Source=$Workbook$;Location=&quot;Rodada_1_Yolo (2)&quot;;Extended Properties=&quot;&quot;" command="SELECT * FROM [Rodada_1_Yolo (2)]"/>
  </connection>
  <connection id="4" xr16:uid="{43787F4D-BE70-4CBE-B9DE-DBD4C90D1D41}" keepAlive="1" name="Consulta - Rodada_2" description="Conexão com a consulta 'Rodada_2' na pasta de trabalho." type="5" refreshedVersion="0" background="1">
    <dbPr connection="Provider=Microsoft.Mashup.OleDb.1;Data Source=$Workbook$;Location=Rodada_2;Extended Properties=&quot;&quot;" command="SELECT * FROM [Rodada_2]"/>
  </connection>
  <connection id="5" xr16:uid="{422C2583-6B5A-4EC6-99EE-C6D0D6BE757E}" keepAlive="1" name="Consulta - Rodada_2_Yolo" description="Conexão com a consulta 'Rodada_2_Yolo' na pasta de trabalho." type="5" refreshedVersion="0" background="1">
    <dbPr connection="Provider=Microsoft.Mashup.OleDb.1;Data Source=$Workbook$;Location=Rodada_2_Yolo;Extended Properties=&quot;&quot;" command="SELECT * FROM [Rodada_2_Yolo]"/>
  </connection>
  <connection id="6" xr16:uid="{AFD55125-09F5-46DE-B08C-0444DB356B34}" keepAlive="1" name="Consulta - Rodada_3" description="Conexão com a consulta 'Rodada_3' na pasta de trabalho." type="5" refreshedVersion="0" background="1">
    <dbPr connection="Provider=Microsoft.Mashup.OleDb.1;Data Source=$Workbook$;Location=Rodada_3;Extended Properties=&quot;&quot;" command="SELECT * FROM [Rodada_3]"/>
  </connection>
  <connection id="7" xr16:uid="{8CB5294E-9BB6-4187-84BA-717C1F327ABC}" keepAlive="1" name="Consulta - Rodada_3_Yolo" description="Conexão com a consulta 'Rodada_3_Yolo' na pasta de trabalho." type="5" refreshedVersion="0" background="1">
    <dbPr connection="Provider=Microsoft.Mashup.OleDb.1;Data Source=$Workbook$;Location=Rodada_3_Yolo;Extended Properties=&quot;&quot;" command="SELECT * FROM [Rodada_3_Yolo]"/>
  </connection>
  <connection id="8" xr16:uid="{16335C27-7807-4274-9434-8BB1A3DCB8BC}" keepAlive="1" name="Consulta - Rodada_4" description="Conexão com a consulta 'Rodada_4' na pasta de trabalho." type="5" refreshedVersion="0" background="1">
    <dbPr connection="Provider=Microsoft.Mashup.OleDb.1;Data Source=$Workbook$;Location=Rodada_4;Extended Properties=&quot;&quot;" command="SELECT * FROM [Rodada_4]"/>
  </connection>
  <connection id="9" xr16:uid="{57FDC8A8-D557-4485-A16D-77BAA2566C7C}" keepAlive="1" name="Consulta - Rodada_4_Yolo" description="Conexão com a consulta 'Rodada_4_Yolo' na pasta de trabalho." type="5" refreshedVersion="0" background="1">
    <dbPr connection="Provider=Microsoft.Mashup.OleDb.1;Data Source=$Workbook$;Location=Rodada_4_Yolo;Extended Properties=&quot;&quot;" command="SELECT * FROM [Rodada_4_Yolo]"/>
  </connection>
  <connection id="10" xr16:uid="{B1575225-22B3-461A-8B0A-07C013935A5D}" keepAlive="1" name="Consulta - Rodada_5" description="Conexão com a consulta 'Rodada_5' na pasta de trabalho." type="5" refreshedVersion="0" background="1">
    <dbPr connection="Provider=Microsoft.Mashup.OleDb.1;Data Source=$Workbook$;Location=Rodada_5;Extended Properties=&quot;&quot;" command="SELECT * FROM [Rodada_5]"/>
  </connection>
  <connection id="11" xr16:uid="{117ACDD0-9624-409B-9F44-4344DE4D25C8}" keepAlive="1" name="Consulta - Rodada_5_Yolo" description="Conexão com a consulta 'Rodada_5_Yolo' na pasta de trabalho." type="5" refreshedVersion="8" background="1" saveData="1">
    <dbPr connection="Provider=Microsoft.Mashup.OleDb.1;Data Source=$Workbook$;Location=Rodada_5_Yolo;Extended Properties=&quot;&quot;" command="SELECT * FROM [Rodada_5_Yolo]"/>
  </connection>
</connections>
</file>

<file path=xl/sharedStrings.xml><?xml version="1.0" encoding="utf-8"?>
<sst xmlns="http://schemas.openxmlformats.org/spreadsheetml/2006/main" count="410" uniqueCount="198">
  <si>
    <t>Parafusos</t>
  </si>
  <si>
    <t>Arruelas</t>
  </si>
  <si>
    <t>Alfinete</t>
  </si>
  <si>
    <t>Porta Agulhas</t>
  </si>
  <si>
    <t>Allis</t>
  </si>
  <si>
    <t>Anatomica</t>
  </si>
  <si>
    <t>VP</t>
  </si>
  <si>
    <t>FP</t>
  </si>
  <si>
    <t>FN</t>
  </si>
  <si>
    <t>filename</t>
  </si>
  <si>
    <t>Max_Chaos_Rodada_1_Imagem 10</t>
  </si>
  <si>
    <t>Max_Chaos_Rodada_1_Imagem 11</t>
  </si>
  <si>
    <t>Max_Chaos_Rodada_1_Imagem 12</t>
  </si>
  <si>
    <t>Max_Chaos_Rodada_1_Imagem 13</t>
  </si>
  <si>
    <t>Max_Chaos_Rodada_1_Imagem 14</t>
  </si>
  <si>
    <t>Max_Chaos_Rodada_1_Imagem 15</t>
  </si>
  <si>
    <t>Max_Chaos_Rodada_1_Imagem 16</t>
  </si>
  <si>
    <t>Max_Chaos_Rodada_1_Imagem 17</t>
  </si>
  <si>
    <t>Max_Chaos_Rodada_1_Imagem 18</t>
  </si>
  <si>
    <t>Max_Chaos_Rodada_1_Imagem 19</t>
  </si>
  <si>
    <t>Max_Chaos_Rodada_1_Imagem 20</t>
  </si>
  <si>
    <t>Max_Chaos_Rodada_1_Imagem 21</t>
  </si>
  <si>
    <t>Max_Chaos_Rodada_1_Imagem 22</t>
  </si>
  <si>
    <t>Max_Chaos_Rodada_1_Imagem 23</t>
  </si>
  <si>
    <t>Max_Chaos_Rodada_1_Imagem 24</t>
  </si>
  <si>
    <t>Max_Chaos_Rodada_1_Imagem 25</t>
  </si>
  <si>
    <t>Max_Chaos_Rodada_1_Imagem 26</t>
  </si>
  <si>
    <t>Max_Chaos_Rodada_1_Imagem 27</t>
  </si>
  <si>
    <t>Max_Chaos_Rodada_1_Imagem 28</t>
  </si>
  <si>
    <t>Max_Chaos_Rodada_1_Imagem 29</t>
  </si>
  <si>
    <t>Max_Chaos_Rodada_1_Imagem 30</t>
  </si>
  <si>
    <t>Max_Chaos_Rodada_1_Imagem 31</t>
  </si>
  <si>
    <t>Max_Chaos_Rodada_1_Imagem 32</t>
  </si>
  <si>
    <t>Max_Chaos_Rodada_1_Imagem 33</t>
  </si>
  <si>
    <t>Max_Chaos_Rodada_1_Imagem 34</t>
  </si>
  <si>
    <t>Max_Chaos_Rodada_1_Imagem 1</t>
  </si>
  <si>
    <t>Max_Chaos_Rodada_1_Imagem 2</t>
  </si>
  <si>
    <t>Max_Chaos_Rodada_1_Imagem 3</t>
  </si>
  <si>
    <t>Max_Chaos_Rodada_1_Imagem 4</t>
  </si>
  <si>
    <t>Max_Chaos_Rodada_1_Imagem 5</t>
  </si>
  <si>
    <t>Max_Chaos_Rodada_1_Imagem 6</t>
  </si>
  <si>
    <t>Max_Chaos_Rodada_1_Imagem 7</t>
  </si>
  <si>
    <t>Max_Chaos_Rodada_1_Imagem 8</t>
  </si>
  <si>
    <t>Max_Chaos_Rodada_1_Imagem 9</t>
  </si>
  <si>
    <t>Max_Chaos_Rodada_2_Imagem 1</t>
  </si>
  <si>
    <t>Max_Chaos_Rodada_2_Imagem 10</t>
  </si>
  <si>
    <t>Max_Chaos_Rodada_2_Imagem 11</t>
  </si>
  <si>
    <t>Max_Chaos_Rodada_2_Imagem 12</t>
  </si>
  <si>
    <t>Max_Chaos_Rodada_2_Imagem 13</t>
  </si>
  <si>
    <t>Max_Chaos_Rodada_2_Imagem 14</t>
  </si>
  <si>
    <t>Max_Chaos_Rodada_2_Imagem 15</t>
  </si>
  <si>
    <t>Max_Chaos_Rodada_2_Imagem 16</t>
  </si>
  <si>
    <t>Max_Chaos_Rodada_2_Imagem 17</t>
  </si>
  <si>
    <t>Max_Chaos_Rodada_2_Imagem 18</t>
  </si>
  <si>
    <t>Max_Chaos_Rodada_2_Imagem 19</t>
  </si>
  <si>
    <t>Max_Chaos_Rodada_2_Imagem 2</t>
  </si>
  <si>
    <t>Max_Chaos_Rodada_2_Imagem 20</t>
  </si>
  <si>
    <t>Max_Chaos_Rodada_2_Imagem 21</t>
  </si>
  <si>
    <t>Max_Chaos_Rodada_2_Imagem 22</t>
  </si>
  <si>
    <t>Max_Chaos_Rodada_2_Imagem 23</t>
  </si>
  <si>
    <t>Max_Chaos_Rodada_2_Imagem 24</t>
  </si>
  <si>
    <t>Max_Chaos_Rodada_2_Imagem 25</t>
  </si>
  <si>
    <t>Max_Chaos_Rodada_2_Imagem 26</t>
  </si>
  <si>
    <t>Max_Chaos_Rodada_2_Imagem 27</t>
  </si>
  <si>
    <t>Max_Chaos_Rodada_2_Imagem 28</t>
  </si>
  <si>
    <t>Max_Chaos_Rodada_2_Imagem 29</t>
  </si>
  <si>
    <t>Max_Chaos_Rodada_2_Imagem 3</t>
  </si>
  <si>
    <t>Max_Chaos_Rodada_2_Imagem 30</t>
  </si>
  <si>
    <t>Max_Chaos_Rodada_2_Imagem 31</t>
  </si>
  <si>
    <t>Max_Chaos_Rodada_2_Imagem 32</t>
  </si>
  <si>
    <t>Max_Chaos_Rodada_2_Imagem 4</t>
  </si>
  <si>
    <t>Max_Chaos_Rodada_2_Imagem 5</t>
  </si>
  <si>
    <t>Max_Chaos_Rodada_2_Imagem 6</t>
  </si>
  <si>
    <t>Max_Chaos_Rodada_2_Imagem 7</t>
  </si>
  <si>
    <t>Max_Chaos_Rodada_2_Imagem 8</t>
  </si>
  <si>
    <t>Max_Chaos_Rodada_2_Imagem 9</t>
  </si>
  <si>
    <t>Max_Chaos_Rodada_3_Imagem 1</t>
  </si>
  <si>
    <t>Max_Chaos_Rodada_3_Imagem 10</t>
  </si>
  <si>
    <t>Max_Chaos_Rodada_3_Imagem 11</t>
  </si>
  <si>
    <t>Max_Chaos_Rodada_3_Imagem 12</t>
  </si>
  <si>
    <t>Max_Chaos_Rodada_3_Imagem 13</t>
  </si>
  <si>
    <t>Max_Chaos_Rodada_3_Imagem 14</t>
  </si>
  <si>
    <t>Max_Chaos_Rodada_3_Imagem 15</t>
  </si>
  <si>
    <t>Max_Chaos_Rodada_3_Imagem 16</t>
  </si>
  <si>
    <t>Max_Chaos_Rodada_3_Imagem 17</t>
  </si>
  <si>
    <t>Max_Chaos_Rodada_3_Imagem 18</t>
  </si>
  <si>
    <t>Max_Chaos_Rodada_3_Imagem 19</t>
  </si>
  <si>
    <t>Max_Chaos_Rodada_3_Imagem 2</t>
  </si>
  <si>
    <t>Max_Chaos_Rodada_3_Imagem 20</t>
  </si>
  <si>
    <t>Max_Chaos_Rodada_3_Imagem 21</t>
  </si>
  <si>
    <t>Max_Chaos_Rodada_3_Imagem 22</t>
  </si>
  <si>
    <t>Max_Chaos_Rodada_3_Imagem 23</t>
  </si>
  <si>
    <t>Max_Chaos_Rodada_3_Imagem 24</t>
  </si>
  <si>
    <t>Max_Chaos_Rodada_3_Imagem 25</t>
  </si>
  <si>
    <t>Max_Chaos_Rodada_3_Imagem 26</t>
  </si>
  <si>
    <t>Max_Chaos_Rodada_3_Imagem 27</t>
  </si>
  <si>
    <t>Max_Chaos_Rodada_3_Imagem 28</t>
  </si>
  <si>
    <t>Max_Chaos_Rodada_3_Imagem 29</t>
  </si>
  <si>
    <t>Max_Chaos_Rodada_3_Imagem 3</t>
  </si>
  <si>
    <t>Max_Chaos_Rodada_3_Imagem 30</t>
  </si>
  <si>
    <t>Max_Chaos_Rodada_3_Imagem 31</t>
  </si>
  <si>
    <t>Max_Chaos_Rodada_3_Imagem 32</t>
  </si>
  <si>
    <t>Max_Chaos_Rodada_3_Imagem 33</t>
  </si>
  <si>
    <t>Max_Chaos_Rodada_3_Imagem 34</t>
  </si>
  <si>
    <t>Max_Chaos_Rodada_3_Imagem 35</t>
  </si>
  <si>
    <t>Max_Chaos_Rodada_3_Imagem 36</t>
  </si>
  <si>
    <t>Max_Chaos_Rodada_3_Imagem 37</t>
  </si>
  <si>
    <t>Max_Chaos_Rodada_3_Imagem 38</t>
  </si>
  <si>
    <t>Max_Chaos_Rodada_3_Imagem 39</t>
  </si>
  <si>
    <t>Max_Chaos_Rodada_3_Imagem 4</t>
  </si>
  <si>
    <t>Max_Chaos_Rodada_3_Imagem 40</t>
  </si>
  <si>
    <t>Max_Chaos_Rodada_3_Imagem 41</t>
  </si>
  <si>
    <t>Max_Chaos_Rodada_3_Imagem 5</t>
  </si>
  <si>
    <t>Max_Chaos_Rodada_3_Imagem 6</t>
  </si>
  <si>
    <t>Max_Chaos_Rodada_3_Imagem 7</t>
  </si>
  <si>
    <t>Max_Chaos_Rodada_3_Imagem 8</t>
  </si>
  <si>
    <t>Max_Chaos_Rodada_3_Imagem 9</t>
  </si>
  <si>
    <t>Max_Chaos_Rodada_4_Imagem 1</t>
  </si>
  <si>
    <t>Max_Chaos_Rodada_4_Imagem 10</t>
  </si>
  <si>
    <t>Max_Chaos_Rodada_4_Imagem 11</t>
  </si>
  <si>
    <t>Max_Chaos_Rodada_4_Imagem 12</t>
  </si>
  <si>
    <t>Max_Chaos_Rodada_4_Imagem 13</t>
  </si>
  <si>
    <t>Max_Chaos_Rodada_4_Imagem 14</t>
  </si>
  <si>
    <t>Max_Chaos_Rodada_4_Imagem 15</t>
  </si>
  <si>
    <t>Max_Chaos_Rodada_4_Imagem 16</t>
  </si>
  <si>
    <t>Max_Chaos_Rodada_4_Imagem 17</t>
  </si>
  <si>
    <t>Max_Chaos_Rodada_4_Imagem 18</t>
  </si>
  <si>
    <t>Max_Chaos_Rodada_4_Imagem 19</t>
  </si>
  <si>
    <t>Max_Chaos_Rodada_4_Imagem 2</t>
  </si>
  <si>
    <t>Max_Chaos_Rodada_4_Imagem 20</t>
  </si>
  <si>
    <t>Max_Chaos_Rodada_4_Imagem 21</t>
  </si>
  <si>
    <t>Max_Chaos_Rodada_4_Imagem 22</t>
  </si>
  <si>
    <t>Max_Chaos_Rodada_4_Imagem 23</t>
  </si>
  <si>
    <t>Max_Chaos_Rodada_4_Imagem 24</t>
  </si>
  <si>
    <t>Max_Chaos_Rodada_4_Imagem 25</t>
  </si>
  <si>
    <t>Max_Chaos_Rodada_4_Imagem 26</t>
  </si>
  <si>
    <t>Max_Chaos_Rodada_4_Imagem 27</t>
  </si>
  <si>
    <t>Max_Chaos_Rodada_4_Imagem 3</t>
  </si>
  <si>
    <t>Max_Chaos_Rodada_4_Imagem 4</t>
  </si>
  <si>
    <t>Max_Chaos_Rodada_4_Imagem 5</t>
  </si>
  <si>
    <t>Max_Chaos_Rodada_4_Imagem 6</t>
  </si>
  <si>
    <t>Max_Chaos_Rodada_4_Imagem 7</t>
  </si>
  <si>
    <t>Max_Chaos_Rodada_4_Imagem 8</t>
  </si>
  <si>
    <t>Max_Chaos_Rodada_4_Imagem 9</t>
  </si>
  <si>
    <t>Max_Chaos_Rodada_5_Imagem 1</t>
  </si>
  <si>
    <t>Max_Chaos_Rodada_5_Imagem 10</t>
  </si>
  <si>
    <t>Max_Chaos_Rodada_5_Imagem 11</t>
  </si>
  <si>
    <t>Max_Chaos_Rodada_5_Imagem 12</t>
  </si>
  <si>
    <t>Max_Chaos_Rodada_5_Imagem 13</t>
  </si>
  <si>
    <t>Max_Chaos_Rodada_5_Imagem 14</t>
  </si>
  <si>
    <t>Max_Chaos_Rodada_5_Imagem 15</t>
  </si>
  <si>
    <t>Max_Chaos_Rodada_5_Imagem 16</t>
  </si>
  <si>
    <t>Max_Chaos_Rodada_5_Imagem 17</t>
  </si>
  <si>
    <t>Max_Chaos_Rodada_5_Imagem 18</t>
  </si>
  <si>
    <t>Max_Chaos_Rodada_5_Imagem 19</t>
  </si>
  <si>
    <t>Max_Chaos_Rodada_5_Imagem 2</t>
  </si>
  <si>
    <t>Max_Chaos_Rodada_5_Imagem 20</t>
  </si>
  <si>
    <t>Max_Chaos_Rodada_5_Imagem 21</t>
  </si>
  <si>
    <t>Max_Chaos_Rodada_5_Imagem 22</t>
  </si>
  <si>
    <t>Max_Chaos_Rodada_5_Imagem 23</t>
  </si>
  <si>
    <t>Max_Chaos_Rodada_5_Imagem 24</t>
  </si>
  <si>
    <t>Max_Chaos_Rodada_5_Imagem 25</t>
  </si>
  <si>
    <t>Max_Chaos_Rodada_5_Imagem 26</t>
  </si>
  <si>
    <t>Max_Chaos_Rodada_5_Imagem 27</t>
  </si>
  <si>
    <t>Max_Chaos_Rodada_5_Imagem 28</t>
  </si>
  <si>
    <t>Max_Chaos_Rodada_5_Imagem 29</t>
  </si>
  <si>
    <t>Max_Chaos_Rodada_5_Imagem 3</t>
  </si>
  <si>
    <t>Max_Chaos_Rodada_5_Imagem 30</t>
  </si>
  <si>
    <t>Max_Chaos_Rodada_5_Imagem 4</t>
  </si>
  <si>
    <t>Max_Chaos_Rodada_5_Imagem 5</t>
  </si>
  <si>
    <t>Max_Chaos_Rodada_5_Imagem 6</t>
  </si>
  <si>
    <t>Max_Chaos_Rodada_5_Imagem 7</t>
  </si>
  <si>
    <t>Max_Chaos_Rodada_5_Imagem 8</t>
  </si>
  <si>
    <t>Max_Chaos_Rodada_5_Imagem 9</t>
  </si>
  <si>
    <t>Total:</t>
  </si>
  <si>
    <t>Precisão:</t>
  </si>
  <si>
    <t>Acurácia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</si>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</sst>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applyNumberFormat="1"/>
  </cellXfs>
  <cellStyles count="2">
    <cellStyle name="Normal" xfId="0" builtinId="0"/>
    <cellStyle name="Porcentagem" xfId="1" builtinId="5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1" xr16:uid="{363EADD5-463E-402F-82ED-ABEFCBBE4A9F}" autoFormatId="16" applyNumberFormats="0" applyBorderFormats="0" applyFontFormats="0" applyPatternFormats="0" applyAlignmentFormats="0" applyWidthHeightFormats="0">
  <queryTableRefresh nextId="21">
    <queryTableFields count="2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32EADBB-C0E6-4DD3-8AC6-AA264D74101F}" name="Rodada_5_Yolo" displayName="Rodada_5_Yolo" ref="A1:T31" tableType="queryTable" totalsRowShown="0">
  <autoFilter ref="A1:T31" xr:uid="{C32EADBB-C0E6-4DD3-8AC6-AA264D74101F}"/>
  <tableColumns count="20">
    <tableColumn id="1" xr3:uid="{21395CE4-A175-497D-B63A-94E59219F6AE}" uniqueName="1" name="Column1" queryTableFieldId="1" dataDxfId="1"/>
    <tableColumn id="2" xr3:uid="{9D47DF27-69EB-45A4-8681-A94DCBD29880}" uniqueName="2" name="Column2" queryTableFieldId="2"/>
    <tableColumn id="3" xr3:uid="{180A2F0D-9356-4288-BDF8-E09D4D53D66A}" uniqueName="3" name="Column3" queryTableFieldId="3"/>
    <tableColumn id="4" xr3:uid="{882D9DA0-BE51-4547-AC93-C1DBC79109A8}" uniqueName="4" name="Column4" queryTableFieldId="4"/>
    <tableColumn id="5" xr3:uid="{6945FCDB-E9C9-47ED-A6CD-1E46C0A19E11}" uniqueName="5" name="Column5" queryTableFieldId="5"/>
    <tableColumn id="6" xr3:uid="{6FE7BF74-4DE2-46F1-AF86-A9AF46E56CFF}" uniqueName="6" name="Column6" queryTableFieldId="6"/>
    <tableColumn id="7" xr3:uid="{37008BCA-8BF0-40C6-B69E-ED8FAD88D602}" uniqueName="7" name="Column7" queryTableFieldId="7"/>
    <tableColumn id="8" xr3:uid="{0E9BC9A0-E583-4A90-9C50-47B9A400A024}" uniqueName="8" name="Column8" queryTableFieldId="8"/>
    <tableColumn id="9" xr3:uid="{ACE3F9DB-8388-4AF2-A7F5-BF96B507BB19}" uniqueName="9" name="Column9" queryTableFieldId="9"/>
    <tableColumn id="10" xr3:uid="{6C62C652-7DEA-4947-BE99-7976CD3D2B9F}" uniqueName="10" name="Column10" queryTableFieldId="10"/>
    <tableColumn id="11" xr3:uid="{7E23F0F1-9217-497E-89F4-A9679B0DDC16}" uniqueName="11" name="Column11" queryTableFieldId="11"/>
    <tableColumn id="12" xr3:uid="{298F85FA-4BFE-4126-AE4C-FC9D33E43047}" uniqueName="12" name="Column12" queryTableFieldId="12"/>
    <tableColumn id="13" xr3:uid="{FA2C3CFE-2294-4819-AB3B-394ED4C90EF0}" uniqueName="13" name="Column13" queryTableFieldId="13"/>
    <tableColumn id="14" xr3:uid="{95AA7CB3-9BBD-4359-A43A-9DEACE380C53}" uniqueName="14" name="Column14" queryTableFieldId="14"/>
    <tableColumn id="15" xr3:uid="{867B4915-8292-4415-9F01-F2BF45BB25BF}" uniqueName="15" name="Column15" queryTableFieldId="15"/>
    <tableColumn id="16" xr3:uid="{8B565AC8-8F94-4C67-A8C5-37D9145E3CAF}" uniqueName="16" name="Column16" queryTableFieldId="16"/>
    <tableColumn id="17" xr3:uid="{42BB8149-76FC-4480-9C64-2019099BBB82}" uniqueName="17" name="Column17" queryTableFieldId="17"/>
    <tableColumn id="18" xr3:uid="{52B04402-F2A8-4A13-B03D-34581CDE998F}" uniqueName="18" name="Column18" queryTableFieldId="18"/>
    <tableColumn id="19" xr3:uid="{5756BD2B-8C61-491B-9A20-33CCB0D2EC62}" uniqueName="19" name="Column19" queryTableFieldId="19"/>
    <tableColumn id="20" xr3:uid="{DCA3405D-7481-4D3A-8548-B9D3F53DFDAB}" uniqueName="20" name="Column20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95DFC-299A-4227-A661-49BB5AF4ACAA}">
  <dimension ref="A1:S39"/>
  <sheetViews>
    <sheetView topLeftCell="A19" workbookViewId="0">
      <selection activeCell="A3" sqref="A3:S36"/>
    </sheetView>
  </sheetViews>
  <sheetFormatPr defaultRowHeight="15" x14ac:dyDescent="0.25"/>
  <cols>
    <col min="1" max="1" width="31.7109375" bestFit="1" customWidth="1"/>
  </cols>
  <sheetData>
    <row r="1" spans="1:19" x14ac:dyDescent="0.25">
      <c r="A1" s="1"/>
      <c r="B1" s="4" t="s">
        <v>0</v>
      </c>
      <c r="C1" s="4"/>
      <c r="D1" s="4"/>
      <c r="E1" s="4" t="s">
        <v>1</v>
      </c>
      <c r="F1" s="4"/>
      <c r="G1" s="4"/>
      <c r="H1" s="4" t="s">
        <v>2</v>
      </c>
      <c r="I1" s="4"/>
      <c r="J1" s="4"/>
      <c r="K1" s="4" t="s">
        <v>3</v>
      </c>
      <c r="L1" s="4"/>
      <c r="M1" s="4"/>
      <c r="N1" s="4" t="s">
        <v>4</v>
      </c>
      <c r="O1" s="4"/>
      <c r="P1" s="4"/>
      <c r="Q1" s="4" t="s">
        <v>5</v>
      </c>
      <c r="R1" s="4"/>
      <c r="S1" s="4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35</v>
      </c>
      <c r="B3">
        <v>2</v>
      </c>
      <c r="C3">
        <v>0</v>
      </c>
      <c r="D3">
        <v>0</v>
      </c>
      <c r="E3">
        <v>1</v>
      </c>
      <c r="F3">
        <v>0</v>
      </c>
      <c r="G3">
        <v>1</v>
      </c>
      <c r="H3">
        <v>0</v>
      </c>
      <c r="I3">
        <v>1</v>
      </c>
      <c r="J3">
        <v>1</v>
      </c>
      <c r="K3">
        <v>0</v>
      </c>
      <c r="L3">
        <v>0</v>
      </c>
      <c r="M3">
        <v>1</v>
      </c>
      <c r="N3">
        <v>0</v>
      </c>
      <c r="O3">
        <v>0</v>
      </c>
      <c r="P3">
        <v>1</v>
      </c>
      <c r="Q3">
        <v>1</v>
      </c>
      <c r="R3">
        <v>2</v>
      </c>
      <c r="S3">
        <v>0</v>
      </c>
    </row>
    <row r="4" spans="1:19" x14ac:dyDescent="0.25">
      <c r="A4" t="s">
        <v>10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 t="s">
        <v>11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t="s">
        <v>12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t="s">
        <v>13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t="s">
        <v>14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16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17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t="s">
        <v>18</v>
      </c>
      <c r="B12">
        <v>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19</v>
      </c>
      <c r="B13">
        <v>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t="s">
        <v>36</v>
      </c>
      <c r="B14">
        <v>2</v>
      </c>
      <c r="C14">
        <v>0</v>
      </c>
      <c r="D14">
        <v>0</v>
      </c>
      <c r="E14">
        <v>2</v>
      </c>
      <c r="F14">
        <v>0</v>
      </c>
      <c r="G14">
        <v>0</v>
      </c>
      <c r="H14">
        <v>0</v>
      </c>
      <c r="I14">
        <v>1</v>
      </c>
      <c r="J14">
        <v>1</v>
      </c>
      <c r="K14">
        <v>0</v>
      </c>
      <c r="L14">
        <v>0</v>
      </c>
      <c r="M14">
        <v>1</v>
      </c>
      <c r="N14">
        <v>0</v>
      </c>
      <c r="O14">
        <v>0</v>
      </c>
      <c r="P14">
        <v>1</v>
      </c>
      <c r="Q14">
        <v>0</v>
      </c>
      <c r="R14">
        <v>1</v>
      </c>
      <c r="S14">
        <v>1</v>
      </c>
    </row>
    <row r="15" spans="1:19" x14ac:dyDescent="0.25">
      <c r="A15" t="s">
        <v>20</v>
      </c>
      <c r="B15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</row>
    <row r="16" spans="1:19" x14ac:dyDescent="0.25">
      <c r="A16" t="s">
        <v>21</v>
      </c>
      <c r="B16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</row>
    <row r="17" spans="1:19" x14ac:dyDescent="0.25">
      <c r="A17" t="s">
        <v>22</v>
      </c>
      <c r="B17">
        <v>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 x14ac:dyDescent="0.25">
      <c r="A18" t="s">
        <v>23</v>
      </c>
      <c r="B18">
        <v>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</row>
    <row r="19" spans="1:19" x14ac:dyDescent="0.25">
      <c r="A19" t="s">
        <v>24</v>
      </c>
      <c r="B19">
        <v>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25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</row>
    <row r="21" spans="1:19" x14ac:dyDescent="0.25">
      <c r="A21" t="s">
        <v>26</v>
      </c>
      <c r="B21">
        <v>1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</row>
    <row r="22" spans="1:19" x14ac:dyDescent="0.25">
      <c r="A22" t="s">
        <v>27</v>
      </c>
      <c r="B22">
        <v>0</v>
      </c>
      <c r="C22">
        <v>0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</row>
    <row r="23" spans="1:19" x14ac:dyDescent="0.25">
      <c r="A23" t="s">
        <v>28</v>
      </c>
      <c r="B23">
        <v>0</v>
      </c>
      <c r="C23">
        <v>0</v>
      </c>
      <c r="D23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1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</row>
    <row r="24" spans="1:19" x14ac:dyDescent="0.25">
      <c r="A24" t="s">
        <v>29</v>
      </c>
      <c r="B24">
        <v>0</v>
      </c>
      <c r="C24">
        <v>0</v>
      </c>
      <c r="D24">
        <v>2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</row>
    <row r="25" spans="1:19" x14ac:dyDescent="0.25">
      <c r="A25" t="s">
        <v>37</v>
      </c>
      <c r="B25">
        <v>2</v>
      </c>
      <c r="C25">
        <v>1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  <c r="J25">
        <v>1</v>
      </c>
      <c r="K25">
        <v>0</v>
      </c>
      <c r="L25">
        <v>0</v>
      </c>
      <c r="M25">
        <v>1</v>
      </c>
      <c r="N25">
        <v>0</v>
      </c>
      <c r="O25">
        <v>0</v>
      </c>
      <c r="P25">
        <v>1</v>
      </c>
      <c r="Q25">
        <v>1</v>
      </c>
      <c r="R25">
        <v>1</v>
      </c>
      <c r="S25">
        <v>0</v>
      </c>
    </row>
    <row r="26" spans="1:19" x14ac:dyDescent="0.25">
      <c r="A26" t="s">
        <v>30</v>
      </c>
      <c r="B26">
        <v>0</v>
      </c>
      <c r="C26">
        <v>0</v>
      </c>
      <c r="D26">
        <v>2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</row>
    <row r="27" spans="1:19" x14ac:dyDescent="0.25">
      <c r="A27" t="s">
        <v>31</v>
      </c>
      <c r="B27">
        <v>0</v>
      </c>
      <c r="C27">
        <v>0</v>
      </c>
      <c r="D27">
        <v>2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1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</row>
    <row r="28" spans="1:19" x14ac:dyDescent="0.25">
      <c r="A28" t="s">
        <v>32</v>
      </c>
      <c r="B28">
        <v>0</v>
      </c>
      <c r="C28">
        <v>1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</row>
    <row r="29" spans="1:19" x14ac:dyDescent="0.25">
      <c r="A29" t="s">
        <v>33</v>
      </c>
      <c r="B29">
        <v>1</v>
      </c>
      <c r="C29">
        <v>1</v>
      </c>
      <c r="D29">
        <v>1</v>
      </c>
      <c r="E29">
        <v>0</v>
      </c>
      <c r="F29">
        <v>0</v>
      </c>
      <c r="G29">
        <v>1</v>
      </c>
      <c r="H29">
        <v>0</v>
      </c>
      <c r="I29">
        <v>0</v>
      </c>
      <c r="J29">
        <v>1</v>
      </c>
      <c r="K29">
        <v>1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</row>
    <row r="30" spans="1:19" x14ac:dyDescent="0.25">
      <c r="A30" t="s">
        <v>34</v>
      </c>
      <c r="B30">
        <v>1</v>
      </c>
      <c r="C30">
        <v>1</v>
      </c>
      <c r="D30">
        <v>1</v>
      </c>
      <c r="E30">
        <v>0</v>
      </c>
      <c r="F30">
        <v>0</v>
      </c>
      <c r="G30">
        <v>1</v>
      </c>
      <c r="H30">
        <v>0</v>
      </c>
      <c r="I30">
        <v>0</v>
      </c>
      <c r="J30">
        <v>1</v>
      </c>
      <c r="K30">
        <v>1</v>
      </c>
      <c r="L30">
        <v>0</v>
      </c>
      <c r="M30">
        <v>1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</row>
    <row r="31" spans="1:19" x14ac:dyDescent="0.25">
      <c r="A31" t="s">
        <v>38</v>
      </c>
      <c r="B31">
        <v>2</v>
      </c>
      <c r="C31">
        <v>2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</row>
    <row r="32" spans="1:19" x14ac:dyDescent="0.25">
      <c r="A32" t="s">
        <v>39</v>
      </c>
      <c r="B32">
        <v>2</v>
      </c>
      <c r="C32">
        <v>1</v>
      </c>
      <c r="D32">
        <v>0</v>
      </c>
      <c r="E32">
        <v>1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</row>
    <row r="33" spans="1:19" x14ac:dyDescent="0.25">
      <c r="A33" t="s">
        <v>40</v>
      </c>
      <c r="B33">
        <v>1</v>
      </c>
      <c r="C33">
        <v>1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</row>
    <row r="34" spans="1:19" x14ac:dyDescent="0.25">
      <c r="A34" t="s">
        <v>41</v>
      </c>
      <c r="B34">
        <v>1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 t="s">
        <v>42</v>
      </c>
      <c r="B35">
        <v>1</v>
      </c>
      <c r="C35">
        <v>1</v>
      </c>
      <c r="D35">
        <v>0</v>
      </c>
      <c r="E35">
        <v>1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 t="s">
        <v>43</v>
      </c>
      <c r="B36">
        <v>1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 s="1" t="s">
        <v>174</v>
      </c>
      <c r="B37" s="1">
        <f>SUM(B3:B36)</f>
        <v>39</v>
      </c>
      <c r="C37" s="1">
        <f t="shared" ref="C37:S37" si="0">SUM(C3:C36)</f>
        <v>9</v>
      </c>
      <c r="D37" s="1">
        <f t="shared" si="0"/>
        <v>16</v>
      </c>
      <c r="E37" s="1">
        <f t="shared" si="0"/>
        <v>10</v>
      </c>
      <c r="F37" s="1">
        <f t="shared" si="0"/>
        <v>0</v>
      </c>
      <c r="G37" s="1">
        <f t="shared" si="0"/>
        <v>3</v>
      </c>
      <c r="H37" s="1">
        <f t="shared" si="0"/>
        <v>0</v>
      </c>
      <c r="I37" s="1">
        <f t="shared" si="0"/>
        <v>7</v>
      </c>
      <c r="J37" s="1">
        <f t="shared" si="0"/>
        <v>18</v>
      </c>
      <c r="K37" s="1">
        <f t="shared" si="0"/>
        <v>16</v>
      </c>
      <c r="L37" s="1">
        <f t="shared" si="0"/>
        <v>0</v>
      </c>
      <c r="M37" s="1">
        <f t="shared" si="0"/>
        <v>9</v>
      </c>
      <c r="N37" s="1">
        <f t="shared" si="0"/>
        <v>16</v>
      </c>
      <c r="O37" s="1">
        <f t="shared" si="0"/>
        <v>0</v>
      </c>
      <c r="P37" s="1">
        <f t="shared" si="0"/>
        <v>3</v>
      </c>
      <c r="Q37" s="1">
        <f t="shared" si="0"/>
        <v>17</v>
      </c>
      <c r="R37" s="1">
        <f t="shared" si="0"/>
        <v>4</v>
      </c>
      <c r="S37" s="1">
        <f t="shared" si="0"/>
        <v>4</v>
      </c>
    </row>
    <row r="38" spans="1:19" x14ac:dyDescent="0.25">
      <c r="A38" s="1" t="s">
        <v>175</v>
      </c>
      <c r="B38" s="5">
        <f>B37 / (B37 + C37)</f>
        <v>0.8125</v>
      </c>
      <c r="C38" s="5"/>
      <c r="D38" s="5"/>
      <c r="E38" s="5">
        <f t="shared" ref="E38" si="1">E37 / (E37 + F37)</f>
        <v>1</v>
      </c>
      <c r="F38" s="5"/>
      <c r="G38" s="5"/>
      <c r="H38" s="5">
        <f t="shared" ref="H38" si="2">H37 / (H37 + I37)</f>
        <v>0</v>
      </c>
      <c r="I38" s="5"/>
      <c r="J38" s="5"/>
      <c r="K38" s="5">
        <f t="shared" ref="K38" si="3">K37 / (K37 + L37)</f>
        <v>1</v>
      </c>
      <c r="L38" s="5"/>
      <c r="M38" s="5"/>
      <c r="N38" s="5">
        <f t="shared" ref="N38" si="4">N37 / (N37 + O37)</f>
        <v>1</v>
      </c>
      <c r="O38" s="5"/>
      <c r="P38" s="5"/>
      <c r="Q38" s="5">
        <f t="shared" ref="Q38" si="5">Q37 / (Q37 + R37)</f>
        <v>0.80952380952380953</v>
      </c>
      <c r="R38" s="5"/>
      <c r="S38" s="5"/>
    </row>
    <row r="39" spans="1:19" x14ac:dyDescent="0.25">
      <c r="A39" s="1" t="s">
        <v>176</v>
      </c>
      <c r="B39" s="5">
        <f xml:space="preserve"> B37 / (B37 + D37)</f>
        <v>0.70909090909090911</v>
      </c>
      <c r="C39" s="5"/>
      <c r="D39" s="5"/>
      <c r="E39" s="5">
        <f t="shared" ref="E39" si="6" xml:space="preserve"> E37 / (E37 + G37)</f>
        <v>0.76923076923076927</v>
      </c>
      <c r="F39" s="5"/>
      <c r="G39" s="5"/>
      <c r="H39" s="5">
        <f t="shared" ref="H39" si="7" xml:space="preserve"> H37 / (H37 + J37)</f>
        <v>0</v>
      </c>
      <c r="I39" s="5"/>
      <c r="J39" s="5"/>
      <c r="K39" s="5">
        <f t="shared" ref="K39" si="8" xml:space="preserve"> K37 / (K37 + M37)</f>
        <v>0.64</v>
      </c>
      <c r="L39" s="5"/>
      <c r="M39" s="5"/>
      <c r="N39" s="5">
        <f t="shared" ref="N39" si="9" xml:space="preserve"> N37 / (N37 + P37)</f>
        <v>0.84210526315789469</v>
      </c>
      <c r="O39" s="5"/>
      <c r="P39" s="5"/>
      <c r="Q39" s="5">
        <f t="shared" ref="Q39" si="10" xml:space="preserve"> Q37 / (Q37 + S37)</f>
        <v>0.80952380952380953</v>
      </c>
      <c r="R39" s="5"/>
      <c r="S39" s="5"/>
    </row>
  </sheetData>
  <mergeCells count="18">
    <mergeCell ref="Q39:S39"/>
    <mergeCell ref="B39:D39"/>
    <mergeCell ref="E39:G39"/>
    <mergeCell ref="H39:J39"/>
    <mergeCell ref="K39:M39"/>
    <mergeCell ref="N39:P39"/>
    <mergeCell ref="Q1:S1"/>
    <mergeCell ref="B38:D38"/>
    <mergeCell ref="E38:G38"/>
    <mergeCell ref="H38:J38"/>
    <mergeCell ref="K38:M38"/>
    <mergeCell ref="N38:P38"/>
    <mergeCell ref="Q38:S38"/>
    <mergeCell ref="B1:D1"/>
    <mergeCell ref="E1:G1"/>
    <mergeCell ref="H1:J1"/>
    <mergeCell ref="K1:M1"/>
    <mergeCell ref="N1:P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5E746-37CC-48A0-9C5E-8AB516AA1996}">
  <dimension ref="A1:S37"/>
  <sheetViews>
    <sheetView workbookViewId="0">
      <selection activeCell="A3" sqref="A3:S34"/>
    </sheetView>
  </sheetViews>
  <sheetFormatPr defaultRowHeight="15" x14ac:dyDescent="0.25"/>
  <cols>
    <col min="1" max="1" width="31.7109375" bestFit="1" customWidth="1"/>
  </cols>
  <sheetData>
    <row r="1" spans="1:19" x14ac:dyDescent="0.25">
      <c r="A1" s="1"/>
      <c r="B1" s="4" t="s">
        <v>0</v>
      </c>
      <c r="C1" s="4"/>
      <c r="D1" s="4"/>
      <c r="E1" s="4" t="s">
        <v>1</v>
      </c>
      <c r="F1" s="4"/>
      <c r="G1" s="4"/>
      <c r="H1" s="4" t="s">
        <v>2</v>
      </c>
      <c r="I1" s="4"/>
      <c r="J1" s="4"/>
      <c r="K1" s="4" t="s">
        <v>3</v>
      </c>
      <c r="L1" s="4"/>
      <c r="M1" s="4"/>
      <c r="N1" s="4" t="s">
        <v>4</v>
      </c>
      <c r="O1" s="4"/>
      <c r="P1" s="4"/>
      <c r="Q1" s="4" t="s">
        <v>5</v>
      </c>
      <c r="R1" s="4"/>
      <c r="S1" s="4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44</v>
      </c>
      <c r="B3">
        <v>0</v>
      </c>
      <c r="C3">
        <v>1</v>
      </c>
      <c r="D3">
        <v>2</v>
      </c>
      <c r="E3">
        <v>0</v>
      </c>
      <c r="F3">
        <v>0</v>
      </c>
      <c r="G3">
        <v>2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</row>
    <row r="4" spans="1:19" x14ac:dyDescent="0.25">
      <c r="A4" t="s">
        <v>45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</row>
    <row r="5" spans="1:19" x14ac:dyDescent="0.25">
      <c r="A5" t="s">
        <v>46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</row>
    <row r="6" spans="1:19" x14ac:dyDescent="0.25">
      <c r="A6" t="s">
        <v>47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t="s">
        <v>48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t="s">
        <v>49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 t="s">
        <v>50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51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52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t="s">
        <v>53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54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t="s">
        <v>55</v>
      </c>
      <c r="B14">
        <v>0</v>
      </c>
      <c r="C14">
        <v>1</v>
      </c>
      <c r="D14">
        <v>2</v>
      </c>
      <c r="E14">
        <v>0</v>
      </c>
      <c r="F14">
        <v>0</v>
      </c>
      <c r="G14">
        <v>2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</row>
    <row r="15" spans="1:19" x14ac:dyDescent="0.25">
      <c r="A15" t="s">
        <v>56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t="s">
        <v>57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t="s">
        <v>58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1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t="s">
        <v>59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</row>
    <row r="19" spans="1:19" x14ac:dyDescent="0.25">
      <c r="A19" t="s">
        <v>60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</row>
    <row r="20" spans="1:19" x14ac:dyDescent="0.25">
      <c r="A20" t="s">
        <v>61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1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</row>
    <row r="21" spans="1:19" x14ac:dyDescent="0.25">
      <c r="A21" t="s">
        <v>62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1</v>
      </c>
      <c r="I21">
        <v>1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</row>
    <row r="22" spans="1:19" x14ac:dyDescent="0.25">
      <c r="A22" t="s">
        <v>63</v>
      </c>
      <c r="B22">
        <v>0</v>
      </c>
      <c r="C22">
        <v>0</v>
      </c>
      <c r="D22">
        <v>1</v>
      </c>
      <c r="E22">
        <v>1</v>
      </c>
      <c r="F22">
        <v>0</v>
      </c>
      <c r="G22">
        <v>0</v>
      </c>
      <c r="H22">
        <v>1</v>
      </c>
      <c r="I22">
        <v>1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</row>
    <row r="23" spans="1:19" x14ac:dyDescent="0.25">
      <c r="A23" t="s">
        <v>64</v>
      </c>
      <c r="B23">
        <v>0</v>
      </c>
      <c r="C23">
        <v>0</v>
      </c>
      <c r="D23">
        <v>1</v>
      </c>
      <c r="E23">
        <v>2</v>
      </c>
      <c r="F23">
        <v>0</v>
      </c>
      <c r="G23">
        <v>0</v>
      </c>
      <c r="H23">
        <v>1</v>
      </c>
      <c r="I23">
        <v>1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</row>
    <row r="24" spans="1:19" x14ac:dyDescent="0.25">
      <c r="A24" t="s">
        <v>65</v>
      </c>
      <c r="B24">
        <v>0</v>
      </c>
      <c r="C24">
        <v>0</v>
      </c>
      <c r="D24">
        <v>2</v>
      </c>
      <c r="E24">
        <v>2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</row>
    <row r="25" spans="1:19" x14ac:dyDescent="0.25">
      <c r="A25" t="s">
        <v>66</v>
      </c>
      <c r="B25">
        <v>0</v>
      </c>
      <c r="C25">
        <v>1</v>
      </c>
      <c r="D25">
        <v>2</v>
      </c>
      <c r="E25">
        <v>0</v>
      </c>
      <c r="F25">
        <v>0</v>
      </c>
      <c r="G25">
        <v>2</v>
      </c>
      <c r="H25">
        <v>0</v>
      </c>
      <c r="I25">
        <v>0</v>
      </c>
      <c r="J25">
        <v>1</v>
      </c>
      <c r="K25">
        <v>1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</row>
    <row r="26" spans="1:19" x14ac:dyDescent="0.25">
      <c r="A26" t="s">
        <v>67</v>
      </c>
      <c r="B26">
        <v>0</v>
      </c>
      <c r="C26">
        <v>0</v>
      </c>
      <c r="D26">
        <v>2</v>
      </c>
      <c r="E26">
        <v>1</v>
      </c>
      <c r="F26">
        <v>0</v>
      </c>
      <c r="G26">
        <v>1</v>
      </c>
      <c r="H26">
        <v>1</v>
      </c>
      <c r="I26">
        <v>0</v>
      </c>
      <c r="J26">
        <v>0</v>
      </c>
      <c r="K26">
        <v>0</v>
      </c>
      <c r="L26">
        <v>0</v>
      </c>
      <c r="M26">
        <v>1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</row>
    <row r="27" spans="1:19" x14ac:dyDescent="0.25">
      <c r="A27" t="s">
        <v>68</v>
      </c>
      <c r="B27">
        <v>0</v>
      </c>
      <c r="C27">
        <v>0</v>
      </c>
      <c r="D27">
        <v>2</v>
      </c>
      <c r="E27">
        <v>1</v>
      </c>
      <c r="F27">
        <v>0</v>
      </c>
      <c r="G27">
        <v>1</v>
      </c>
      <c r="H27">
        <v>1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1</v>
      </c>
      <c r="Q27">
        <v>0</v>
      </c>
      <c r="R27">
        <v>0</v>
      </c>
      <c r="S27">
        <v>1</v>
      </c>
    </row>
    <row r="28" spans="1:19" x14ac:dyDescent="0.25">
      <c r="A28" t="s">
        <v>69</v>
      </c>
      <c r="B28">
        <v>0</v>
      </c>
      <c r="C28">
        <v>0</v>
      </c>
      <c r="D28">
        <v>2</v>
      </c>
      <c r="E28">
        <v>1</v>
      </c>
      <c r="F28">
        <v>0</v>
      </c>
      <c r="G28">
        <v>1</v>
      </c>
      <c r="H28">
        <v>1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</row>
    <row r="29" spans="1:19" x14ac:dyDescent="0.25">
      <c r="A29" t="s">
        <v>70</v>
      </c>
      <c r="B29">
        <v>0</v>
      </c>
      <c r="C29">
        <v>1</v>
      </c>
      <c r="D29">
        <v>2</v>
      </c>
      <c r="E29">
        <v>0</v>
      </c>
      <c r="F29">
        <v>0</v>
      </c>
      <c r="G29">
        <v>2</v>
      </c>
      <c r="H29">
        <v>0</v>
      </c>
      <c r="I29">
        <v>0</v>
      </c>
      <c r="J29">
        <v>1</v>
      </c>
      <c r="K29">
        <v>1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 t="s">
        <v>71</v>
      </c>
      <c r="B30">
        <v>0</v>
      </c>
      <c r="C30">
        <v>1</v>
      </c>
      <c r="D30">
        <v>1</v>
      </c>
      <c r="E30">
        <v>1</v>
      </c>
      <c r="F30">
        <v>0</v>
      </c>
      <c r="G30">
        <v>1</v>
      </c>
      <c r="H30">
        <v>0</v>
      </c>
      <c r="I30">
        <v>0</v>
      </c>
      <c r="J30">
        <v>1</v>
      </c>
      <c r="K30">
        <v>1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 t="s">
        <v>72</v>
      </c>
      <c r="B31">
        <v>0</v>
      </c>
      <c r="C31">
        <v>1</v>
      </c>
      <c r="D31">
        <v>1</v>
      </c>
      <c r="E31">
        <v>0</v>
      </c>
      <c r="F31">
        <v>0</v>
      </c>
      <c r="G31">
        <v>1</v>
      </c>
      <c r="H31">
        <v>0</v>
      </c>
      <c r="I31">
        <v>0</v>
      </c>
      <c r="J31">
        <v>1</v>
      </c>
      <c r="K31">
        <v>1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 t="s">
        <v>73</v>
      </c>
      <c r="B32">
        <v>0</v>
      </c>
      <c r="C32">
        <v>1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1</v>
      </c>
      <c r="K32">
        <v>1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 t="s">
        <v>74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 t="s">
        <v>75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1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 s="1" t="s">
        <v>174</v>
      </c>
      <c r="B35" s="1">
        <f>SUM(B3:B34)</f>
        <v>0</v>
      </c>
      <c r="C35" s="1">
        <f t="shared" ref="C35:S35" si="0">SUM(C3:C34)</f>
        <v>12</v>
      </c>
      <c r="D35" s="1">
        <f t="shared" si="0"/>
        <v>21</v>
      </c>
      <c r="E35" s="1">
        <f t="shared" si="0"/>
        <v>10</v>
      </c>
      <c r="F35" s="1">
        <f t="shared" si="0"/>
        <v>1</v>
      </c>
      <c r="G35" s="1">
        <f t="shared" si="0"/>
        <v>13</v>
      </c>
      <c r="H35" s="1">
        <f t="shared" si="0"/>
        <v>9</v>
      </c>
      <c r="I35" s="1">
        <f t="shared" si="0"/>
        <v>4</v>
      </c>
      <c r="J35" s="1">
        <f t="shared" si="0"/>
        <v>17</v>
      </c>
      <c r="K35" s="1">
        <f t="shared" si="0"/>
        <v>14</v>
      </c>
      <c r="L35" s="1">
        <f t="shared" si="0"/>
        <v>5</v>
      </c>
      <c r="M35" s="1">
        <f t="shared" si="0"/>
        <v>9</v>
      </c>
      <c r="N35" s="1">
        <f t="shared" si="0"/>
        <v>14</v>
      </c>
      <c r="O35" s="1">
        <f t="shared" si="0"/>
        <v>1</v>
      </c>
      <c r="P35" s="1">
        <f t="shared" si="0"/>
        <v>10</v>
      </c>
      <c r="Q35" s="1">
        <f t="shared" si="0"/>
        <v>3</v>
      </c>
      <c r="R35" s="1">
        <f t="shared" si="0"/>
        <v>0</v>
      </c>
      <c r="S35" s="1">
        <f t="shared" si="0"/>
        <v>3</v>
      </c>
    </row>
    <row r="36" spans="1:19" x14ac:dyDescent="0.25">
      <c r="A36" s="1" t="s">
        <v>175</v>
      </c>
      <c r="B36" s="5">
        <f>B35 / (B35 + C35)</f>
        <v>0</v>
      </c>
      <c r="C36" s="5"/>
      <c r="D36" s="5"/>
      <c r="E36" s="5">
        <f t="shared" ref="E36" si="1">E35 / (E35 + F35)</f>
        <v>0.90909090909090906</v>
      </c>
      <c r="F36" s="5"/>
      <c r="G36" s="5"/>
      <c r="H36" s="5">
        <f t="shared" ref="H36" si="2">H35 / (H35 + I35)</f>
        <v>0.69230769230769229</v>
      </c>
      <c r="I36" s="5"/>
      <c r="J36" s="5"/>
      <c r="K36" s="5">
        <f t="shared" ref="K36" si="3">K35 / (K35 + L35)</f>
        <v>0.73684210526315785</v>
      </c>
      <c r="L36" s="5"/>
      <c r="M36" s="5"/>
      <c r="N36" s="5">
        <f t="shared" ref="N36" si="4">N35 / (N35 + O35)</f>
        <v>0.93333333333333335</v>
      </c>
      <c r="O36" s="5"/>
      <c r="P36" s="5"/>
      <c r="Q36" s="5">
        <f t="shared" ref="Q36" si="5">Q35 / (Q35 + R35)</f>
        <v>1</v>
      </c>
      <c r="R36" s="5"/>
      <c r="S36" s="5"/>
    </row>
    <row r="37" spans="1:19" x14ac:dyDescent="0.25">
      <c r="A37" s="1" t="s">
        <v>176</v>
      </c>
      <c r="B37" s="5">
        <f xml:space="preserve"> B35 / (B35 + D35)</f>
        <v>0</v>
      </c>
      <c r="C37" s="5"/>
      <c r="D37" s="5"/>
      <c r="E37" s="5">
        <f t="shared" ref="E37" si="6" xml:space="preserve"> E35 / (E35 + G35)</f>
        <v>0.43478260869565216</v>
      </c>
      <c r="F37" s="5"/>
      <c r="G37" s="5"/>
      <c r="H37" s="5">
        <f t="shared" ref="H37" si="7" xml:space="preserve"> H35 / (H35 + J35)</f>
        <v>0.34615384615384615</v>
      </c>
      <c r="I37" s="5"/>
      <c r="J37" s="5"/>
      <c r="K37" s="5">
        <f t="shared" ref="K37" si="8" xml:space="preserve"> K35 / (K35 + M35)</f>
        <v>0.60869565217391308</v>
      </c>
      <c r="L37" s="5"/>
      <c r="M37" s="5"/>
      <c r="N37" s="5">
        <f t="shared" ref="N37" si="9" xml:space="preserve"> N35 / (N35 + P35)</f>
        <v>0.58333333333333337</v>
      </c>
      <c r="O37" s="5"/>
      <c r="P37" s="5"/>
      <c r="Q37" s="5">
        <f t="shared" ref="Q37" si="10" xml:space="preserve"> Q35 / (Q35 + S35)</f>
        <v>0.5</v>
      </c>
      <c r="R37" s="5"/>
      <c r="S37" s="5"/>
    </row>
  </sheetData>
  <mergeCells count="18">
    <mergeCell ref="Q37:S37"/>
    <mergeCell ref="B36:D36"/>
    <mergeCell ref="E36:G36"/>
    <mergeCell ref="H36:J36"/>
    <mergeCell ref="K36:M36"/>
    <mergeCell ref="N36:P36"/>
    <mergeCell ref="Q36:S36"/>
    <mergeCell ref="B37:D37"/>
    <mergeCell ref="E37:G37"/>
    <mergeCell ref="H37:J37"/>
    <mergeCell ref="K37:M37"/>
    <mergeCell ref="N37:P37"/>
    <mergeCell ref="Q1:S1"/>
    <mergeCell ref="B1:D1"/>
    <mergeCell ref="E1:G1"/>
    <mergeCell ref="H1:J1"/>
    <mergeCell ref="K1:M1"/>
    <mergeCell ref="N1:P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5E344-77B5-40BE-8F29-EF695136B76F}">
  <dimension ref="A1:S46"/>
  <sheetViews>
    <sheetView topLeftCell="A13" workbookViewId="0">
      <selection activeCell="A3" sqref="A3:S43"/>
    </sheetView>
  </sheetViews>
  <sheetFormatPr defaultRowHeight="15" x14ac:dyDescent="0.25"/>
  <cols>
    <col min="1" max="1" width="31.7109375" bestFit="1" customWidth="1"/>
  </cols>
  <sheetData>
    <row r="1" spans="1:19" x14ac:dyDescent="0.25">
      <c r="A1" s="1"/>
      <c r="B1" s="4" t="s">
        <v>0</v>
      </c>
      <c r="C1" s="4"/>
      <c r="D1" s="4"/>
      <c r="E1" s="4" t="s">
        <v>1</v>
      </c>
      <c r="F1" s="4"/>
      <c r="G1" s="4"/>
      <c r="H1" s="4" t="s">
        <v>2</v>
      </c>
      <c r="I1" s="4"/>
      <c r="J1" s="4"/>
      <c r="K1" s="4" t="s">
        <v>3</v>
      </c>
      <c r="L1" s="4"/>
      <c r="M1" s="4"/>
      <c r="N1" s="4" t="s">
        <v>4</v>
      </c>
      <c r="O1" s="4"/>
      <c r="P1" s="4"/>
      <c r="Q1" s="4" t="s">
        <v>5</v>
      </c>
      <c r="R1" s="4"/>
      <c r="S1" s="4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76</v>
      </c>
      <c r="B3">
        <v>5</v>
      </c>
      <c r="C3">
        <v>0</v>
      </c>
      <c r="D3">
        <v>4</v>
      </c>
      <c r="E3">
        <v>2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</row>
    <row r="4" spans="1:19" x14ac:dyDescent="0.25">
      <c r="A4" t="s">
        <v>77</v>
      </c>
      <c r="B4">
        <v>2</v>
      </c>
      <c r="C4">
        <v>0</v>
      </c>
      <c r="D4">
        <v>5</v>
      </c>
      <c r="E4">
        <v>2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 t="s">
        <v>78</v>
      </c>
      <c r="B5">
        <v>1</v>
      </c>
      <c r="C5">
        <v>0</v>
      </c>
      <c r="D5">
        <v>5</v>
      </c>
      <c r="E5">
        <v>2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t="s">
        <v>79</v>
      </c>
      <c r="B6">
        <v>1</v>
      </c>
      <c r="C6">
        <v>0</v>
      </c>
      <c r="D6">
        <v>5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t="s">
        <v>80</v>
      </c>
      <c r="B7">
        <v>1</v>
      </c>
      <c r="C7">
        <v>0</v>
      </c>
      <c r="D7">
        <v>5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t="s">
        <v>81</v>
      </c>
      <c r="B8">
        <v>1</v>
      </c>
      <c r="C8">
        <v>0</v>
      </c>
      <c r="D8">
        <v>5</v>
      </c>
      <c r="E8">
        <v>1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 t="s">
        <v>82</v>
      </c>
      <c r="B9">
        <v>1</v>
      </c>
      <c r="C9">
        <v>0</v>
      </c>
      <c r="D9">
        <v>5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83</v>
      </c>
      <c r="B10">
        <v>1</v>
      </c>
      <c r="C10">
        <v>0</v>
      </c>
      <c r="D10">
        <v>5</v>
      </c>
      <c r="E10">
        <v>1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84</v>
      </c>
      <c r="B11">
        <v>5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t="s">
        <v>85</v>
      </c>
      <c r="B12">
        <v>6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86</v>
      </c>
      <c r="B13">
        <v>5</v>
      </c>
      <c r="C13">
        <v>1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t="s">
        <v>87</v>
      </c>
      <c r="B14">
        <v>6</v>
      </c>
      <c r="C14">
        <v>0</v>
      </c>
      <c r="D14">
        <v>3</v>
      </c>
      <c r="E14">
        <v>2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</row>
    <row r="15" spans="1:19" x14ac:dyDescent="0.25">
      <c r="A15" t="s">
        <v>88</v>
      </c>
      <c r="B15">
        <v>3</v>
      </c>
      <c r="C15">
        <v>0</v>
      </c>
      <c r="D15">
        <v>3</v>
      </c>
      <c r="E15">
        <v>1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t="s">
        <v>89</v>
      </c>
      <c r="B16">
        <v>5</v>
      </c>
      <c r="C16">
        <v>1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t="s">
        <v>90</v>
      </c>
      <c r="B17">
        <v>1</v>
      </c>
      <c r="C17">
        <v>0</v>
      </c>
      <c r="D17">
        <v>5</v>
      </c>
      <c r="E17">
        <v>1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</row>
    <row r="18" spans="1:19" x14ac:dyDescent="0.25">
      <c r="A18" t="s">
        <v>91</v>
      </c>
      <c r="B18">
        <v>1</v>
      </c>
      <c r="C18">
        <v>0</v>
      </c>
      <c r="D18">
        <v>5</v>
      </c>
      <c r="E18">
        <v>1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</row>
    <row r="19" spans="1:19" x14ac:dyDescent="0.25">
      <c r="A19" t="s">
        <v>92</v>
      </c>
      <c r="B19">
        <v>1</v>
      </c>
      <c r="C19">
        <v>0</v>
      </c>
      <c r="D19">
        <v>5</v>
      </c>
      <c r="E19">
        <v>1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</row>
    <row r="20" spans="1:19" x14ac:dyDescent="0.25">
      <c r="A20" t="s">
        <v>93</v>
      </c>
      <c r="B20">
        <v>1</v>
      </c>
      <c r="C20">
        <v>0</v>
      </c>
      <c r="D20">
        <v>5</v>
      </c>
      <c r="E20">
        <v>1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</row>
    <row r="21" spans="1:19" x14ac:dyDescent="0.25">
      <c r="A21" t="s">
        <v>94</v>
      </c>
      <c r="B21">
        <v>1</v>
      </c>
      <c r="C21">
        <v>0</v>
      </c>
      <c r="D21">
        <v>5</v>
      </c>
      <c r="E21">
        <v>1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</row>
    <row r="22" spans="1:19" x14ac:dyDescent="0.25">
      <c r="A22" t="s">
        <v>95</v>
      </c>
      <c r="B22">
        <v>6</v>
      </c>
      <c r="C22">
        <v>1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1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</row>
    <row r="23" spans="1:19" x14ac:dyDescent="0.25">
      <c r="A23" t="s">
        <v>96</v>
      </c>
      <c r="B23">
        <v>6</v>
      </c>
      <c r="C23">
        <v>1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</row>
    <row r="24" spans="1:19" x14ac:dyDescent="0.25">
      <c r="A24" t="s">
        <v>97</v>
      </c>
      <c r="B24">
        <v>5</v>
      </c>
      <c r="C24">
        <v>1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</row>
    <row r="25" spans="1:19" x14ac:dyDescent="0.25">
      <c r="A25" t="s">
        <v>98</v>
      </c>
      <c r="B25">
        <v>6</v>
      </c>
      <c r="C25">
        <v>0</v>
      </c>
      <c r="D25">
        <v>3</v>
      </c>
      <c r="E25">
        <v>2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</row>
    <row r="26" spans="1:19" x14ac:dyDescent="0.25">
      <c r="A26" t="s">
        <v>99</v>
      </c>
      <c r="B26">
        <v>6</v>
      </c>
      <c r="C26">
        <v>1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</row>
    <row r="27" spans="1:19" x14ac:dyDescent="0.25">
      <c r="A27" t="s">
        <v>100</v>
      </c>
      <c r="B27">
        <v>5</v>
      </c>
      <c r="C27">
        <v>1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 t="s">
        <v>101</v>
      </c>
      <c r="B28">
        <v>6</v>
      </c>
      <c r="C28">
        <v>1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 t="s">
        <v>102</v>
      </c>
      <c r="B29">
        <v>3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 t="s">
        <v>103</v>
      </c>
      <c r="B30">
        <v>2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 t="s">
        <v>104</v>
      </c>
      <c r="B31">
        <v>3</v>
      </c>
      <c r="C31">
        <v>0</v>
      </c>
      <c r="D31">
        <v>0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 t="s">
        <v>105</v>
      </c>
      <c r="B32">
        <v>3</v>
      </c>
      <c r="C32">
        <v>0</v>
      </c>
      <c r="D32">
        <v>0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 t="s">
        <v>106</v>
      </c>
      <c r="B33">
        <v>1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 t="s">
        <v>107</v>
      </c>
      <c r="B34">
        <v>1</v>
      </c>
      <c r="C34">
        <v>0</v>
      </c>
      <c r="D34">
        <v>0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 t="s">
        <v>108</v>
      </c>
      <c r="B35">
        <v>1</v>
      </c>
      <c r="C35">
        <v>0</v>
      </c>
      <c r="D35">
        <v>0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</row>
    <row r="36" spans="1:19" x14ac:dyDescent="0.25">
      <c r="A36" t="s">
        <v>109</v>
      </c>
      <c r="B36">
        <v>6</v>
      </c>
      <c r="C36">
        <v>0</v>
      </c>
      <c r="D36">
        <v>3</v>
      </c>
      <c r="E36">
        <v>2</v>
      </c>
      <c r="F36">
        <v>0</v>
      </c>
      <c r="G36">
        <v>0</v>
      </c>
      <c r="H36">
        <v>0</v>
      </c>
      <c r="I36">
        <v>0</v>
      </c>
      <c r="J36">
        <v>1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</row>
    <row r="37" spans="1:19" x14ac:dyDescent="0.25">
      <c r="A37" t="s">
        <v>110</v>
      </c>
      <c r="B37">
        <v>1</v>
      </c>
      <c r="C37">
        <v>0</v>
      </c>
      <c r="D37">
        <v>0</v>
      </c>
      <c r="E37">
        <v>1</v>
      </c>
      <c r="F37">
        <v>1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</row>
    <row r="38" spans="1:19" x14ac:dyDescent="0.25">
      <c r="A38" t="s">
        <v>111</v>
      </c>
      <c r="B38">
        <v>1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1</v>
      </c>
      <c r="N38">
        <v>0</v>
      </c>
      <c r="O38">
        <v>1</v>
      </c>
      <c r="P38">
        <v>1</v>
      </c>
      <c r="Q38">
        <v>0</v>
      </c>
      <c r="R38">
        <v>1</v>
      </c>
      <c r="S38">
        <v>0</v>
      </c>
    </row>
    <row r="39" spans="1:19" x14ac:dyDescent="0.25">
      <c r="A39" t="s">
        <v>112</v>
      </c>
      <c r="B39">
        <v>4</v>
      </c>
      <c r="C39">
        <v>0</v>
      </c>
      <c r="D39">
        <v>5</v>
      </c>
      <c r="E39">
        <v>2</v>
      </c>
      <c r="F39">
        <v>0</v>
      </c>
      <c r="G39">
        <v>0</v>
      </c>
      <c r="H39">
        <v>0</v>
      </c>
      <c r="I39">
        <v>0</v>
      </c>
      <c r="J39">
        <v>1</v>
      </c>
      <c r="K39">
        <v>1</v>
      </c>
      <c r="L39">
        <v>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 t="s">
        <v>113</v>
      </c>
      <c r="B40">
        <v>5</v>
      </c>
      <c r="C40">
        <v>0</v>
      </c>
      <c r="D40">
        <v>4</v>
      </c>
      <c r="E40">
        <v>2</v>
      </c>
      <c r="F40">
        <v>0</v>
      </c>
      <c r="G40">
        <v>0</v>
      </c>
      <c r="H40">
        <v>0</v>
      </c>
      <c r="I40">
        <v>0</v>
      </c>
      <c r="J40">
        <v>1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 t="s">
        <v>114</v>
      </c>
      <c r="B41">
        <v>3</v>
      </c>
      <c r="C41">
        <v>0</v>
      </c>
      <c r="D41">
        <v>6</v>
      </c>
      <c r="E41">
        <v>2</v>
      </c>
      <c r="F41">
        <v>0</v>
      </c>
      <c r="G41">
        <v>0</v>
      </c>
      <c r="H41">
        <v>0</v>
      </c>
      <c r="I41">
        <v>0</v>
      </c>
      <c r="J41">
        <v>1</v>
      </c>
      <c r="K41">
        <v>1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 t="s">
        <v>115</v>
      </c>
      <c r="B42">
        <v>2</v>
      </c>
      <c r="C42">
        <v>0</v>
      </c>
      <c r="D42">
        <v>5</v>
      </c>
      <c r="E42">
        <v>2</v>
      </c>
      <c r="F42">
        <v>0</v>
      </c>
      <c r="G42">
        <v>0</v>
      </c>
      <c r="H42">
        <v>0</v>
      </c>
      <c r="I42">
        <v>0</v>
      </c>
      <c r="J42">
        <v>1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 t="s">
        <v>116</v>
      </c>
      <c r="B43">
        <v>2</v>
      </c>
      <c r="C43">
        <v>0</v>
      </c>
      <c r="D43">
        <v>5</v>
      </c>
      <c r="E43">
        <v>2</v>
      </c>
      <c r="F43">
        <v>0</v>
      </c>
      <c r="G43">
        <v>0</v>
      </c>
      <c r="H43">
        <v>0</v>
      </c>
      <c r="I43">
        <v>0</v>
      </c>
      <c r="J43">
        <v>1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 s="1" t="s">
        <v>174</v>
      </c>
      <c r="B44" s="1">
        <f>SUM(B3:B43)</f>
        <v>126</v>
      </c>
      <c r="C44" s="1">
        <f t="shared" ref="C44:S44" si="0">SUM(C3:C43)</f>
        <v>9</v>
      </c>
      <c r="D44" s="1">
        <f t="shared" si="0"/>
        <v>107</v>
      </c>
      <c r="E44" s="1">
        <f t="shared" si="0"/>
        <v>52</v>
      </c>
      <c r="F44" s="1">
        <f t="shared" si="0"/>
        <v>5</v>
      </c>
      <c r="G44" s="1">
        <f t="shared" si="0"/>
        <v>0</v>
      </c>
      <c r="H44" s="1">
        <f t="shared" si="0"/>
        <v>2</v>
      </c>
      <c r="I44" s="1">
        <f t="shared" si="0"/>
        <v>1</v>
      </c>
      <c r="J44" s="1">
        <f t="shared" si="0"/>
        <v>22</v>
      </c>
      <c r="K44" s="1">
        <f t="shared" si="0"/>
        <v>20</v>
      </c>
      <c r="L44" s="1">
        <f t="shared" si="0"/>
        <v>9</v>
      </c>
      <c r="M44" s="1">
        <f t="shared" si="0"/>
        <v>9</v>
      </c>
      <c r="N44" s="1">
        <f t="shared" si="0"/>
        <v>3</v>
      </c>
      <c r="O44" s="1">
        <f t="shared" si="0"/>
        <v>1</v>
      </c>
      <c r="P44" s="1">
        <f t="shared" si="0"/>
        <v>7</v>
      </c>
      <c r="Q44" s="1">
        <f t="shared" si="0"/>
        <v>0</v>
      </c>
      <c r="R44" s="1">
        <f t="shared" si="0"/>
        <v>2</v>
      </c>
      <c r="S44" s="1">
        <f t="shared" si="0"/>
        <v>9</v>
      </c>
    </row>
    <row r="45" spans="1:19" x14ac:dyDescent="0.25">
      <c r="A45" s="1" t="s">
        <v>175</v>
      </c>
      <c r="B45" s="5">
        <f>B44 / (B44 + C44)</f>
        <v>0.93333333333333335</v>
      </c>
      <c r="C45" s="5"/>
      <c r="D45" s="5"/>
      <c r="E45" s="5">
        <f t="shared" ref="E45" si="1">E44 / (E44 + F44)</f>
        <v>0.91228070175438591</v>
      </c>
      <c r="F45" s="5"/>
      <c r="G45" s="5"/>
      <c r="H45" s="5">
        <f t="shared" ref="H45" si="2">H44 / (H44 + I44)</f>
        <v>0.66666666666666663</v>
      </c>
      <c r="I45" s="5"/>
      <c r="J45" s="5"/>
      <c r="K45" s="5">
        <f t="shared" ref="K45" si="3">K44 / (K44 + L44)</f>
        <v>0.68965517241379315</v>
      </c>
      <c r="L45" s="5"/>
      <c r="M45" s="5"/>
      <c r="N45" s="5">
        <f t="shared" ref="N45" si="4">N44 / (N44 + O44)</f>
        <v>0.75</v>
      </c>
      <c r="O45" s="5"/>
      <c r="P45" s="5"/>
      <c r="Q45" s="5">
        <f t="shared" ref="Q45" si="5">Q44 / (Q44 + R44)</f>
        <v>0</v>
      </c>
      <c r="R45" s="5"/>
      <c r="S45" s="5"/>
    </row>
    <row r="46" spans="1:19" x14ac:dyDescent="0.25">
      <c r="A46" s="1" t="s">
        <v>176</v>
      </c>
      <c r="B46" s="5">
        <f xml:space="preserve"> B44 / (B44 + D44)</f>
        <v>0.54077253218884125</v>
      </c>
      <c r="C46" s="5"/>
      <c r="D46" s="5"/>
      <c r="E46" s="5">
        <f t="shared" ref="E46" si="6" xml:space="preserve"> E44 / (E44 + G44)</f>
        <v>1</v>
      </c>
      <c r="F46" s="5"/>
      <c r="G46" s="5"/>
      <c r="H46" s="5">
        <f t="shared" ref="H46" si="7" xml:space="preserve"> H44 / (H44 + J44)</f>
        <v>8.3333333333333329E-2</v>
      </c>
      <c r="I46" s="5"/>
      <c r="J46" s="5"/>
      <c r="K46" s="5">
        <f t="shared" ref="K46" si="8" xml:space="preserve"> K44 / (K44 + M44)</f>
        <v>0.68965517241379315</v>
      </c>
      <c r="L46" s="5"/>
      <c r="M46" s="5"/>
      <c r="N46" s="5">
        <f t="shared" ref="N46" si="9" xml:space="preserve"> N44 / (N44 + P44)</f>
        <v>0.3</v>
      </c>
      <c r="O46" s="5"/>
      <c r="P46" s="5"/>
      <c r="Q46" s="5">
        <f t="shared" ref="Q46" si="10" xml:space="preserve"> Q44 / (Q44 + S44)</f>
        <v>0</v>
      </c>
      <c r="R46" s="5"/>
      <c r="S46" s="5"/>
    </row>
  </sheetData>
  <mergeCells count="18">
    <mergeCell ref="Q46:S46"/>
    <mergeCell ref="B45:D45"/>
    <mergeCell ref="E45:G45"/>
    <mergeCell ref="H45:J45"/>
    <mergeCell ref="K45:M45"/>
    <mergeCell ref="N45:P45"/>
    <mergeCell ref="Q45:S45"/>
    <mergeCell ref="B46:D46"/>
    <mergeCell ref="E46:G46"/>
    <mergeCell ref="H46:J46"/>
    <mergeCell ref="K46:M46"/>
    <mergeCell ref="N46:P46"/>
    <mergeCell ref="Q1:S1"/>
    <mergeCell ref="B1:D1"/>
    <mergeCell ref="E1:G1"/>
    <mergeCell ref="H1:J1"/>
    <mergeCell ref="K1:M1"/>
    <mergeCell ref="N1:P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6CFB2-E2E5-429B-B476-9AB5B3683A4D}">
  <dimension ref="A1:S32"/>
  <sheetViews>
    <sheetView workbookViewId="0">
      <selection activeCell="A3" sqref="A3:S29"/>
    </sheetView>
  </sheetViews>
  <sheetFormatPr defaultRowHeight="15" x14ac:dyDescent="0.25"/>
  <cols>
    <col min="1" max="1" width="31.7109375" bestFit="1" customWidth="1"/>
  </cols>
  <sheetData>
    <row r="1" spans="1:19" x14ac:dyDescent="0.25">
      <c r="A1" s="1"/>
      <c r="B1" s="4" t="s">
        <v>0</v>
      </c>
      <c r="C1" s="4"/>
      <c r="D1" s="4"/>
      <c r="E1" s="4" t="s">
        <v>1</v>
      </c>
      <c r="F1" s="4"/>
      <c r="G1" s="4"/>
      <c r="H1" s="4" t="s">
        <v>2</v>
      </c>
      <c r="I1" s="4"/>
      <c r="J1" s="4"/>
      <c r="K1" s="4" t="s">
        <v>3</v>
      </c>
      <c r="L1" s="4"/>
      <c r="M1" s="4"/>
      <c r="N1" s="4" t="s">
        <v>4</v>
      </c>
      <c r="O1" s="4"/>
      <c r="P1" s="4"/>
      <c r="Q1" s="4" t="s">
        <v>5</v>
      </c>
      <c r="R1" s="4"/>
      <c r="S1" s="4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117</v>
      </c>
      <c r="B3">
        <v>6</v>
      </c>
      <c r="C3">
        <v>0</v>
      </c>
      <c r="D3">
        <v>2</v>
      </c>
      <c r="E3">
        <v>2</v>
      </c>
      <c r="F3">
        <v>1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1</v>
      </c>
      <c r="N3">
        <v>1</v>
      </c>
      <c r="O3">
        <v>1</v>
      </c>
      <c r="P3">
        <v>0</v>
      </c>
      <c r="Q3">
        <v>0</v>
      </c>
      <c r="R3">
        <v>1</v>
      </c>
      <c r="S3">
        <v>1</v>
      </c>
    </row>
    <row r="4" spans="1:19" x14ac:dyDescent="0.25">
      <c r="A4" t="s">
        <v>118</v>
      </c>
      <c r="B4">
        <v>2</v>
      </c>
      <c r="C4">
        <v>0</v>
      </c>
      <c r="D4">
        <v>6</v>
      </c>
      <c r="E4">
        <v>0</v>
      </c>
      <c r="F4">
        <v>0</v>
      </c>
      <c r="G4">
        <v>2</v>
      </c>
      <c r="H4">
        <v>0</v>
      </c>
      <c r="I4">
        <v>0</v>
      </c>
      <c r="J4">
        <v>1</v>
      </c>
      <c r="K4">
        <v>0</v>
      </c>
      <c r="L4">
        <v>0</v>
      </c>
      <c r="M4">
        <v>1</v>
      </c>
      <c r="N4">
        <v>1</v>
      </c>
      <c r="O4">
        <v>2</v>
      </c>
      <c r="P4">
        <v>0</v>
      </c>
      <c r="Q4">
        <v>1</v>
      </c>
      <c r="R4">
        <v>0</v>
      </c>
      <c r="S4">
        <v>0</v>
      </c>
    </row>
    <row r="5" spans="1:19" x14ac:dyDescent="0.25">
      <c r="A5" t="s">
        <v>119</v>
      </c>
      <c r="B5">
        <v>0</v>
      </c>
      <c r="C5">
        <v>0</v>
      </c>
      <c r="D5">
        <v>7</v>
      </c>
      <c r="E5">
        <v>1</v>
      </c>
      <c r="F5">
        <v>0</v>
      </c>
      <c r="G5">
        <v>2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</row>
    <row r="6" spans="1:19" x14ac:dyDescent="0.25">
      <c r="A6" t="s">
        <v>120</v>
      </c>
      <c r="B6">
        <v>1</v>
      </c>
      <c r="C6">
        <v>0</v>
      </c>
      <c r="D6">
        <v>7</v>
      </c>
      <c r="E6">
        <v>2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1</v>
      </c>
      <c r="M6">
        <v>1</v>
      </c>
      <c r="N6">
        <v>0</v>
      </c>
      <c r="O6">
        <v>3</v>
      </c>
      <c r="P6">
        <v>1</v>
      </c>
      <c r="Q6">
        <v>0</v>
      </c>
      <c r="R6">
        <v>0</v>
      </c>
      <c r="S6">
        <v>1</v>
      </c>
    </row>
    <row r="7" spans="1:19" x14ac:dyDescent="0.25">
      <c r="A7" t="s">
        <v>121</v>
      </c>
      <c r="B7">
        <v>1</v>
      </c>
      <c r="C7">
        <v>0</v>
      </c>
      <c r="D7">
        <v>3</v>
      </c>
      <c r="E7">
        <v>2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  <c r="M7">
        <v>1</v>
      </c>
      <c r="N7">
        <v>0</v>
      </c>
      <c r="O7">
        <v>3</v>
      </c>
      <c r="P7">
        <v>1</v>
      </c>
      <c r="Q7">
        <v>0</v>
      </c>
      <c r="R7">
        <v>0</v>
      </c>
      <c r="S7">
        <v>1</v>
      </c>
    </row>
    <row r="8" spans="1:19" x14ac:dyDescent="0.25">
      <c r="A8" t="s">
        <v>122</v>
      </c>
      <c r="B8">
        <v>1</v>
      </c>
      <c r="C8">
        <v>0</v>
      </c>
      <c r="D8">
        <v>3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1</v>
      </c>
    </row>
    <row r="9" spans="1:19" x14ac:dyDescent="0.25">
      <c r="A9" t="s">
        <v>123</v>
      </c>
      <c r="B9">
        <v>2</v>
      </c>
      <c r="C9">
        <v>0</v>
      </c>
      <c r="D9">
        <v>2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1</v>
      </c>
      <c r="P9">
        <v>0</v>
      </c>
      <c r="Q9">
        <v>1</v>
      </c>
      <c r="R9">
        <v>0</v>
      </c>
      <c r="S9">
        <v>0</v>
      </c>
    </row>
    <row r="10" spans="1:19" x14ac:dyDescent="0.25">
      <c r="A10" t="s">
        <v>124</v>
      </c>
      <c r="B10">
        <v>1</v>
      </c>
      <c r="C10">
        <v>0</v>
      </c>
      <c r="D10">
        <v>1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  <c r="S10">
        <v>1</v>
      </c>
    </row>
    <row r="11" spans="1:19" x14ac:dyDescent="0.25">
      <c r="A11" t="s">
        <v>125</v>
      </c>
      <c r="B11">
        <v>0</v>
      </c>
      <c r="C11">
        <v>0</v>
      </c>
      <c r="D11">
        <v>2</v>
      </c>
      <c r="E11">
        <v>0</v>
      </c>
      <c r="F11">
        <v>0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1</v>
      </c>
      <c r="P11">
        <v>1</v>
      </c>
      <c r="Q11">
        <v>0</v>
      </c>
      <c r="R11">
        <v>0</v>
      </c>
      <c r="S11">
        <v>1</v>
      </c>
    </row>
    <row r="12" spans="1:19" x14ac:dyDescent="0.25">
      <c r="A12" t="s">
        <v>126</v>
      </c>
      <c r="B12">
        <v>2</v>
      </c>
      <c r="C12">
        <v>0</v>
      </c>
      <c r="D12">
        <v>2</v>
      </c>
      <c r="E12">
        <v>0</v>
      </c>
      <c r="F12">
        <v>0</v>
      </c>
      <c r="G12">
        <v>2</v>
      </c>
      <c r="H12">
        <v>0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  <c r="O12">
        <v>1</v>
      </c>
      <c r="P12">
        <v>1</v>
      </c>
      <c r="Q12">
        <v>0</v>
      </c>
      <c r="R12">
        <v>0</v>
      </c>
      <c r="S12">
        <v>1</v>
      </c>
    </row>
    <row r="13" spans="1:19" x14ac:dyDescent="0.25">
      <c r="A13" t="s">
        <v>127</v>
      </c>
      <c r="B13">
        <v>3</v>
      </c>
      <c r="C13">
        <v>0</v>
      </c>
      <c r="D13">
        <v>2</v>
      </c>
      <c r="E13">
        <v>0</v>
      </c>
      <c r="F13">
        <v>0</v>
      </c>
      <c r="G13">
        <v>2</v>
      </c>
      <c r="H13">
        <v>0</v>
      </c>
      <c r="I13">
        <v>0</v>
      </c>
      <c r="J13">
        <v>1</v>
      </c>
      <c r="K13">
        <v>0</v>
      </c>
      <c r="L13">
        <v>0</v>
      </c>
      <c r="M13">
        <v>1</v>
      </c>
      <c r="N13">
        <v>0</v>
      </c>
      <c r="O13">
        <v>1</v>
      </c>
      <c r="P13">
        <v>1</v>
      </c>
      <c r="Q13">
        <v>0</v>
      </c>
      <c r="R13">
        <v>0</v>
      </c>
      <c r="S13">
        <v>1</v>
      </c>
    </row>
    <row r="14" spans="1:19" x14ac:dyDescent="0.25">
      <c r="A14" t="s">
        <v>128</v>
      </c>
      <c r="B14">
        <v>5</v>
      </c>
      <c r="C14">
        <v>0</v>
      </c>
      <c r="D14">
        <v>3</v>
      </c>
      <c r="E14">
        <v>2</v>
      </c>
      <c r="F14">
        <v>1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</row>
    <row r="15" spans="1:19" x14ac:dyDescent="0.25">
      <c r="A15" t="s">
        <v>129</v>
      </c>
      <c r="B15">
        <v>2</v>
      </c>
      <c r="C15">
        <v>0</v>
      </c>
      <c r="D15">
        <v>2</v>
      </c>
      <c r="E15">
        <v>0</v>
      </c>
      <c r="F15">
        <v>0</v>
      </c>
      <c r="G15">
        <v>2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1</v>
      </c>
      <c r="P15">
        <v>1</v>
      </c>
      <c r="Q15">
        <v>0</v>
      </c>
      <c r="R15">
        <v>0</v>
      </c>
      <c r="S15">
        <v>1</v>
      </c>
    </row>
    <row r="16" spans="1:19" x14ac:dyDescent="0.25">
      <c r="A16" t="s">
        <v>130</v>
      </c>
      <c r="B16">
        <v>2</v>
      </c>
      <c r="C16">
        <v>0</v>
      </c>
      <c r="D16">
        <v>2</v>
      </c>
      <c r="E16">
        <v>0</v>
      </c>
      <c r="F16">
        <v>0</v>
      </c>
      <c r="G16">
        <v>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1</v>
      </c>
    </row>
    <row r="17" spans="1:19" x14ac:dyDescent="0.25">
      <c r="A17" t="s">
        <v>131</v>
      </c>
      <c r="B17">
        <v>4</v>
      </c>
      <c r="C17">
        <v>0</v>
      </c>
      <c r="D17">
        <v>0</v>
      </c>
      <c r="E17">
        <v>2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</row>
    <row r="18" spans="1:19" x14ac:dyDescent="0.25">
      <c r="A18" t="s">
        <v>132</v>
      </c>
      <c r="B18">
        <v>2</v>
      </c>
      <c r="C18">
        <v>0</v>
      </c>
      <c r="D18">
        <v>0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</row>
    <row r="19" spans="1:19" x14ac:dyDescent="0.25">
      <c r="A19" t="s">
        <v>133</v>
      </c>
      <c r="B19">
        <v>2</v>
      </c>
      <c r="C19">
        <v>0</v>
      </c>
      <c r="D19">
        <v>0</v>
      </c>
      <c r="E19">
        <v>2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</row>
    <row r="20" spans="1:19" x14ac:dyDescent="0.25">
      <c r="A20" t="s">
        <v>134</v>
      </c>
      <c r="B20">
        <v>2</v>
      </c>
      <c r="C20">
        <v>0</v>
      </c>
      <c r="D20">
        <v>0</v>
      </c>
      <c r="E20">
        <v>1</v>
      </c>
      <c r="F20">
        <v>0</v>
      </c>
      <c r="G20">
        <v>1</v>
      </c>
      <c r="H20">
        <v>0</v>
      </c>
      <c r="I20">
        <v>0</v>
      </c>
      <c r="J20">
        <v>1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</row>
    <row r="21" spans="1:19" x14ac:dyDescent="0.25">
      <c r="A21" t="s">
        <v>135</v>
      </c>
      <c r="B21">
        <v>1</v>
      </c>
      <c r="C21">
        <v>0</v>
      </c>
      <c r="D21">
        <v>1</v>
      </c>
      <c r="E21">
        <v>1</v>
      </c>
      <c r="F21">
        <v>0</v>
      </c>
      <c r="G21">
        <v>1</v>
      </c>
      <c r="H21">
        <v>0</v>
      </c>
      <c r="I21">
        <v>0</v>
      </c>
      <c r="J21">
        <v>1</v>
      </c>
      <c r="K21">
        <v>0</v>
      </c>
      <c r="L21">
        <v>0</v>
      </c>
      <c r="M21">
        <v>1</v>
      </c>
      <c r="N21">
        <v>1</v>
      </c>
      <c r="O21">
        <v>1</v>
      </c>
      <c r="P21">
        <v>0</v>
      </c>
      <c r="Q21">
        <v>1</v>
      </c>
      <c r="R21">
        <v>0</v>
      </c>
      <c r="S21">
        <v>0</v>
      </c>
    </row>
    <row r="22" spans="1:19" x14ac:dyDescent="0.25">
      <c r="A22" t="s">
        <v>136</v>
      </c>
      <c r="B22">
        <v>3</v>
      </c>
      <c r="C22">
        <v>0</v>
      </c>
      <c r="D22">
        <v>1</v>
      </c>
      <c r="E22">
        <v>1</v>
      </c>
      <c r="F22">
        <v>0</v>
      </c>
      <c r="G22">
        <v>1</v>
      </c>
      <c r="H22">
        <v>0</v>
      </c>
      <c r="I22">
        <v>0</v>
      </c>
      <c r="J22">
        <v>1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1</v>
      </c>
    </row>
    <row r="23" spans="1:19" x14ac:dyDescent="0.25">
      <c r="A23" t="s">
        <v>137</v>
      </c>
      <c r="B23">
        <v>2</v>
      </c>
      <c r="C23">
        <v>0</v>
      </c>
      <c r="D23">
        <v>4</v>
      </c>
      <c r="E23">
        <v>1</v>
      </c>
      <c r="F23">
        <v>0</v>
      </c>
      <c r="G23">
        <v>1</v>
      </c>
      <c r="H23">
        <v>0</v>
      </c>
      <c r="I23">
        <v>0</v>
      </c>
      <c r="J23">
        <v>1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</row>
    <row r="24" spans="1:19" x14ac:dyDescent="0.25">
      <c r="A24" t="s">
        <v>138</v>
      </c>
      <c r="B24">
        <v>2</v>
      </c>
      <c r="C24">
        <v>0</v>
      </c>
      <c r="D24">
        <v>6</v>
      </c>
      <c r="E24">
        <v>1</v>
      </c>
      <c r="F24">
        <v>0</v>
      </c>
      <c r="G24">
        <v>1</v>
      </c>
      <c r="H24">
        <v>0</v>
      </c>
      <c r="I24">
        <v>0</v>
      </c>
      <c r="J24">
        <v>1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</row>
    <row r="25" spans="1:19" x14ac:dyDescent="0.25">
      <c r="A25" t="s">
        <v>139</v>
      </c>
      <c r="B25">
        <v>4</v>
      </c>
      <c r="C25">
        <v>0</v>
      </c>
      <c r="D25">
        <v>4</v>
      </c>
      <c r="E25">
        <v>1</v>
      </c>
      <c r="F25">
        <v>0</v>
      </c>
      <c r="G25">
        <v>1</v>
      </c>
      <c r="H25">
        <v>0</v>
      </c>
      <c r="I25">
        <v>0</v>
      </c>
      <c r="J25">
        <v>1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</row>
    <row r="26" spans="1:19" x14ac:dyDescent="0.25">
      <c r="A26" t="s">
        <v>140</v>
      </c>
      <c r="B26">
        <v>5</v>
      </c>
      <c r="C26">
        <v>0</v>
      </c>
      <c r="D26">
        <v>3</v>
      </c>
      <c r="E26">
        <v>1</v>
      </c>
      <c r="F26">
        <v>0</v>
      </c>
      <c r="G26">
        <v>1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</row>
    <row r="27" spans="1:19" x14ac:dyDescent="0.25">
      <c r="A27" t="s">
        <v>141</v>
      </c>
      <c r="B27">
        <v>5</v>
      </c>
      <c r="C27">
        <v>0</v>
      </c>
      <c r="D27">
        <v>3</v>
      </c>
      <c r="E27">
        <v>1</v>
      </c>
      <c r="F27">
        <v>0</v>
      </c>
      <c r="G27">
        <v>1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</row>
    <row r="28" spans="1:19" x14ac:dyDescent="0.25">
      <c r="A28" t="s">
        <v>142</v>
      </c>
      <c r="B28">
        <v>4</v>
      </c>
      <c r="C28">
        <v>0</v>
      </c>
      <c r="D28">
        <v>4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</row>
    <row r="29" spans="1:19" x14ac:dyDescent="0.25">
      <c r="A29" t="s">
        <v>143</v>
      </c>
      <c r="B29">
        <v>2</v>
      </c>
      <c r="C29">
        <v>0</v>
      </c>
      <c r="D29">
        <v>6</v>
      </c>
      <c r="E29">
        <v>2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1</v>
      </c>
      <c r="N29">
        <v>1</v>
      </c>
      <c r="O29">
        <v>1</v>
      </c>
      <c r="P29">
        <v>0</v>
      </c>
      <c r="Q29">
        <v>1</v>
      </c>
      <c r="R29">
        <v>0</v>
      </c>
      <c r="S29">
        <v>0</v>
      </c>
    </row>
    <row r="30" spans="1:19" x14ac:dyDescent="0.25">
      <c r="A30" s="1" t="s">
        <v>174</v>
      </c>
      <c r="B30" s="1">
        <f>SUM(B3:B29)</f>
        <v>66</v>
      </c>
      <c r="C30" s="1">
        <f t="shared" ref="C30:S30" si="0">SUM(C3:C29)</f>
        <v>0</v>
      </c>
      <c r="D30" s="1">
        <f t="shared" si="0"/>
        <v>76</v>
      </c>
      <c r="E30" s="1">
        <f t="shared" si="0"/>
        <v>33</v>
      </c>
      <c r="F30" s="1">
        <f t="shared" si="0"/>
        <v>3</v>
      </c>
      <c r="G30" s="1">
        <f t="shared" si="0"/>
        <v>22</v>
      </c>
      <c r="H30" s="1">
        <f t="shared" si="0"/>
        <v>0</v>
      </c>
      <c r="I30" s="1">
        <f t="shared" si="0"/>
        <v>0</v>
      </c>
      <c r="J30" s="1">
        <f t="shared" si="0"/>
        <v>17</v>
      </c>
      <c r="K30" s="1">
        <f t="shared" si="0"/>
        <v>9</v>
      </c>
      <c r="L30" s="1">
        <f t="shared" si="0"/>
        <v>3</v>
      </c>
      <c r="M30" s="1">
        <f t="shared" si="0"/>
        <v>15</v>
      </c>
      <c r="N30" s="1">
        <f t="shared" si="0"/>
        <v>9</v>
      </c>
      <c r="O30" s="1">
        <f t="shared" si="0"/>
        <v>20</v>
      </c>
      <c r="P30" s="1">
        <f t="shared" si="0"/>
        <v>10</v>
      </c>
      <c r="Q30" s="1">
        <f t="shared" si="0"/>
        <v>8</v>
      </c>
      <c r="R30" s="1">
        <f t="shared" si="0"/>
        <v>1</v>
      </c>
      <c r="S30" s="1">
        <f t="shared" si="0"/>
        <v>18</v>
      </c>
    </row>
    <row r="31" spans="1:19" x14ac:dyDescent="0.25">
      <c r="A31" s="1" t="s">
        <v>175</v>
      </c>
      <c r="B31" s="5">
        <f>B30 / (B30 + C30)</f>
        <v>1</v>
      </c>
      <c r="C31" s="5"/>
      <c r="D31" s="5"/>
      <c r="E31" s="5">
        <f t="shared" ref="E31" si="1">E30 / (E30 + F30)</f>
        <v>0.91666666666666663</v>
      </c>
      <c r="F31" s="5"/>
      <c r="G31" s="5"/>
      <c r="H31" s="5" t="e">
        <f t="shared" ref="H31" si="2">H30 / (H30 + I30)</f>
        <v>#DIV/0!</v>
      </c>
      <c r="I31" s="5"/>
      <c r="J31" s="5"/>
      <c r="K31" s="5">
        <f t="shared" ref="K31" si="3">K30 / (K30 + L30)</f>
        <v>0.75</v>
      </c>
      <c r="L31" s="5"/>
      <c r="M31" s="5"/>
      <c r="N31" s="5">
        <f t="shared" ref="N31" si="4">N30 / (N30 + O30)</f>
        <v>0.31034482758620691</v>
      </c>
      <c r="O31" s="5"/>
      <c r="P31" s="5"/>
      <c r="Q31" s="5">
        <f t="shared" ref="Q31" si="5">Q30 / (Q30 + R30)</f>
        <v>0.88888888888888884</v>
      </c>
      <c r="R31" s="5"/>
      <c r="S31" s="5"/>
    </row>
    <row r="32" spans="1:19" x14ac:dyDescent="0.25">
      <c r="A32" s="1" t="s">
        <v>176</v>
      </c>
      <c r="B32" s="5">
        <f xml:space="preserve"> B30 / (B30 + D30)</f>
        <v>0.46478873239436619</v>
      </c>
      <c r="C32" s="5"/>
      <c r="D32" s="5"/>
      <c r="E32" s="5">
        <f t="shared" ref="E32" si="6" xml:space="preserve"> E30 / (E30 + G30)</f>
        <v>0.6</v>
      </c>
      <c r="F32" s="5"/>
      <c r="G32" s="5"/>
      <c r="H32" s="5">
        <f t="shared" ref="H32" si="7" xml:space="preserve"> H30 / (H30 + J30)</f>
        <v>0</v>
      </c>
      <c r="I32" s="5"/>
      <c r="J32" s="5"/>
      <c r="K32" s="5">
        <f t="shared" ref="K32" si="8" xml:space="preserve"> K30 / (K30 + M30)</f>
        <v>0.375</v>
      </c>
      <c r="L32" s="5"/>
      <c r="M32" s="5"/>
      <c r="N32" s="5">
        <f t="shared" ref="N32" si="9" xml:space="preserve"> N30 / (N30 + P30)</f>
        <v>0.47368421052631576</v>
      </c>
      <c r="O32" s="5"/>
      <c r="P32" s="5"/>
      <c r="Q32" s="5">
        <f t="shared" ref="Q32" si="10" xml:space="preserve"> Q30 / (Q30 + S30)</f>
        <v>0.30769230769230771</v>
      </c>
      <c r="R32" s="5"/>
      <c r="S32" s="5"/>
    </row>
  </sheetData>
  <mergeCells count="18">
    <mergeCell ref="Q32:S32"/>
    <mergeCell ref="B31:D31"/>
    <mergeCell ref="E31:G31"/>
    <mergeCell ref="H31:J31"/>
    <mergeCell ref="K31:M31"/>
    <mergeCell ref="N31:P31"/>
    <mergeCell ref="Q31:S31"/>
    <mergeCell ref="B32:D32"/>
    <mergeCell ref="E32:G32"/>
    <mergeCell ref="H32:J32"/>
    <mergeCell ref="K32:M32"/>
    <mergeCell ref="N32:P32"/>
    <mergeCell ref="Q1:S1"/>
    <mergeCell ref="B1:D1"/>
    <mergeCell ref="E1:G1"/>
    <mergeCell ref="H1:J1"/>
    <mergeCell ref="K1:M1"/>
    <mergeCell ref="N1:P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50220-B4A7-4384-899B-61BF058CEC06}">
  <dimension ref="A1:T31"/>
  <sheetViews>
    <sheetView zoomScale="70" zoomScaleNormal="70" workbookViewId="0">
      <selection activeCell="A2" sqref="A2:S31"/>
    </sheetView>
  </sheetViews>
  <sheetFormatPr defaultRowHeight="15" x14ac:dyDescent="0.25"/>
  <cols>
    <col min="1" max="1" width="31.7109375" bestFit="1" customWidth="1"/>
    <col min="2" max="9" width="11.42578125" bestFit="1" customWidth="1"/>
    <col min="10" max="20" width="12.42578125" bestFit="1" customWidth="1"/>
  </cols>
  <sheetData>
    <row r="1" spans="1:20" x14ac:dyDescent="0.25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  <c r="J1" t="s">
        <v>186</v>
      </c>
      <c r="K1" t="s">
        <v>187</v>
      </c>
      <c r="L1" t="s">
        <v>188</v>
      </c>
      <c r="M1" t="s">
        <v>189</v>
      </c>
      <c r="N1" t="s">
        <v>190</v>
      </c>
      <c r="O1" t="s">
        <v>191</v>
      </c>
      <c r="P1" t="s">
        <v>192</v>
      </c>
      <c r="Q1" t="s">
        <v>193</v>
      </c>
      <c r="R1" t="s">
        <v>194</v>
      </c>
      <c r="S1" t="s">
        <v>195</v>
      </c>
      <c r="T1" t="s">
        <v>196</v>
      </c>
    </row>
    <row r="2" spans="1:20" x14ac:dyDescent="0.25">
      <c r="A2" s="6" t="s">
        <v>144</v>
      </c>
      <c r="B2">
        <v>4</v>
      </c>
      <c r="C2">
        <v>0</v>
      </c>
      <c r="D2">
        <v>0</v>
      </c>
      <c r="E2">
        <v>1</v>
      </c>
      <c r="F2">
        <v>0</v>
      </c>
      <c r="G2">
        <v>2</v>
      </c>
      <c r="H2">
        <v>0</v>
      </c>
      <c r="I2">
        <v>0</v>
      </c>
      <c r="J2">
        <v>1</v>
      </c>
      <c r="K2">
        <v>0</v>
      </c>
      <c r="L2">
        <v>0</v>
      </c>
      <c r="M2">
        <v>1</v>
      </c>
      <c r="N2">
        <v>1</v>
      </c>
      <c r="O2">
        <v>1</v>
      </c>
      <c r="P2">
        <v>0</v>
      </c>
      <c r="Q2">
        <v>1</v>
      </c>
      <c r="R2">
        <v>0</v>
      </c>
      <c r="S2">
        <v>0</v>
      </c>
      <c r="T2" s="6" t="s">
        <v>197</v>
      </c>
    </row>
    <row r="3" spans="1:20" x14ac:dyDescent="0.25">
      <c r="A3" s="6" t="s">
        <v>145</v>
      </c>
      <c r="B3">
        <v>5</v>
      </c>
      <c r="C3">
        <v>0</v>
      </c>
      <c r="D3">
        <v>3</v>
      </c>
      <c r="E3">
        <v>1</v>
      </c>
      <c r="F3">
        <v>0</v>
      </c>
      <c r="G3">
        <v>1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s="6" t="s">
        <v>197</v>
      </c>
    </row>
    <row r="4" spans="1:20" x14ac:dyDescent="0.25">
      <c r="A4" s="6" t="s">
        <v>146</v>
      </c>
      <c r="B4">
        <v>5</v>
      </c>
      <c r="C4">
        <v>0</v>
      </c>
      <c r="D4">
        <v>3</v>
      </c>
      <c r="E4">
        <v>1</v>
      </c>
      <c r="F4">
        <v>0</v>
      </c>
      <c r="G4">
        <v>1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s="6" t="s">
        <v>197</v>
      </c>
    </row>
    <row r="5" spans="1:20" x14ac:dyDescent="0.25">
      <c r="A5" s="6" t="s">
        <v>147</v>
      </c>
      <c r="B5">
        <v>5</v>
      </c>
      <c r="C5">
        <v>1</v>
      </c>
      <c r="D5">
        <v>2</v>
      </c>
      <c r="E5">
        <v>1</v>
      </c>
      <c r="F5">
        <v>0</v>
      </c>
      <c r="G5">
        <v>1</v>
      </c>
      <c r="H5">
        <v>1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s="6" t="s">
        <v>197</v>
      </c>
    </row>
    <row r="6" spans="1:20" x14ac:dyDescent="0.25">
      <c r="A6" s="6" t="s">
        <v>148</v>
      </c>
      <c r="B6">
        <v>4</v>
      </c>
      <c r="C6">
        <v>0</v>
      </c>
      <c r="D6">
        <v>2</v>
      </c>
      <c r="E6">
        <v>1</v>
      </c>
      <c r="F6">
        <v>0</v>
      </c>
      <c r="G6">
        <v>1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 s="6" t="s">
        <v>197</v>
      </c>
    </row>
    <row r="7" spans="1:20" x14ac:dyDescent="0.25">
      <c r="A7" s="6" t="s">
        <v>149</v>
      </c>
      <c r="B7">
        <v>3</v>
      </c>
      <c r="C7">
        <v>0</v>
      </c>
      <c r="D7">
        <v>3</v>
      </c>
      <c r="E7">
        <v>1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>
        <v>0</v>
      </c>
      <c r="T7" s="6" t="s">
        <v>197</v>
      </c>
    </row>
    <row r="8" spans="1:20" x14ac:dyDescent="0.25">
      <c r="A8" s="6" t="s">
        <v>150</v>
      </c>
      <c r="B8">
        <v>3</v>
      </c>
      <c r="C8">
        <v>0</v>
      </c>
      <c r="D8">
        <v>3</v>
      </c>
      <c r="E8">
        <v>0</v>
      </c>
      <c r="F8">
        <v>0</v>
      </c>
      <c r="G8">
        <v>2</v>
      </c>
      <c r="H8">
        <v>1</v>
      </c>
      <c r="I8">
        <v>0</v>
      </c>
      <c r="J8">
        <v>0</v>
      </c>
      <c r="K8">
        <v>1</v>
      </c>
      <c r="L8">
        <v>1</v>
      </c>
      <c r="M8">
        <v>1</v>
      </c>
      <c r="N8">
        <v>0</v>
      </c>
      <c r="O8">
        <v>1</v>
      </c>
      <c r="P8">
        <v>1</v>
      </c>
      <c r="Q8">
        <v>1</v>
      </c>
      <c r="R8">
        <v>0</v>
      </c>
      <c r="S8">
        <v>0</v>
      </c>
      <c r="T8" s="6" t="s">
        <v>197</v>
      </c>
    </row>
    <row r="9" spans="1:20" x14ac:dyDescent="0.25">
      <c r="A9" s="6" t="s">
        <v>151</v>
      </c>
      <c r="B9">
        <v>4</v>
      </c>
      <c r="C9">
        <v>0</v>
      </c>
      <c r="D9">
        <v>2</v>
      </c>
      <c r="E9">
        <v>1</v>
      </c>
      <c r="F9">
        <v>0</v>
      </c>
      <c r="G9">
        <v>1</v>
      </c>
      <c r="H9">
        <v>0</v>
      </c>
      <c r="I9">
        <v>0</v>
      </c>
      <c r="J9">
        <v>0</v>
      </c>
      <c r="K9">
        <v>2</v>
      </c>
      <c r="L9">
        <v>0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 s="6" t="s">
        <v>197</v>
      </c>
    </row>
    <row r="10" spans="1:20" x14ac:dyDescent="0.25">
      <c r="A10" s="6" t="s">
        <v>152</v>
      </c>
      <c r="B10">
        <v>3</v>
      </c>
      <c r="C10">
        <v>0</v>
      </c>
      <c r="D10">
        <v>3</v>
      </c>
      <c r="E10">
        <v>1</v>
      </c>
      <c r="F10">
        <v>0</v>
      </c>
      <c r="G10">
        <v>1</v>
      </c>
      <c r="H10">
        <v>1</v>
      </c>
      <c r="I10">
        <v>0</v>
      </c>
      <c r="J10">
        <v>0</v>
      </c>
      <c r="K10">
        <v>2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 s="6" t="s">
        <v>197</v>
      </c>
    </row>
    <row r="11" spans="1:20" x14ac:dyDescent="0.25">
      <c r="A11" s="6" t="s">
        <v>153</v>
      </c>
      <c r="B11">
        <v>3</v>
      </c>
      <c r="C11">
        <v>0</v>
      </c>
      <c r="D11">
        <v>3</v>
      </c>
      <c r="E11">
        <v>1</v>
      </c>
      <c r="F11">
        <v>0</v>
      </c>
      <c r="G11">
        <v>1</v>
      </c>
      <c r="H11">
        <v>0</v>
      </c>
      <c r="I11">
        <v>0</v>
      </c>
      <c r="J11">
        <v>1</v>
      </c>
      <c r="K11">
        <v>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 s="6" t="s">
        <v>197</v>
      </c>
    </row>
    <row r="12" spans="1:20" x14ac:dyDescent="0.25">
      <c r="A12" s="6" t="s">
        <v>154</v>
      </c>
      <c r="B12">
        <v>5</v>
      </c>
      <c r="C12">
        <v>0</v>
      </c>
      <c r="D12">
        <v>1</v>
      </c>
      <c r="E12">
        <v>1</v>
      </c>
      <c r="F12">
        <v>0</v>
      </c>
      <c r="G12">
        <v>1</v>
      </c>
      <c r="H12">
        <v>0</v>
      </c>
      <c r="I12">
        <v>0</v>
      </c>
      <c r="J12">
        <v>0</v>
      </c>
      <c r="K12">
        <v>1</v>
      </c>
      <c r="L12">
        <v>0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1</v>
      </c>
      <c r="T12" s="6" t="s">
        <v>197</v>
      </c>
    </row>
    <row r="13" spans="1:20" x14ac:dyDescent="0.25">
      <c r="A13" s="6" t="s">
        <v>155</v>
      </c>
      <c r="B13">
        <v>4</v>
      </c>
      <c r="C13">
        <v>0</v>
      </c>
      <c r="D13">
        <v>1</v>
      </c>
      <c r="E13">
        <v>2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1</v>
      </c>
      <c r="R13">
        <v>0</v>
      </c>
      <c r="S13">
        <v>0</v>
      </c>
      <c r="T13" s="6" t="s">
        <v>197</v>
      </c>
    </row>
    <row r="14" spans="1:20" x14ac:dyDescent="0.25">
      <c r="A14" s="6" t="s">
        <v>156</v>
      </c>
      <c r="B14">
        <v>5</v>
      </c>
      <c r="C14">
        <v>0</v>
      </c>
      <c r="D14">
        <v>1</v>
      </c>
      <c r="E14">
        <v>1</v>
      </c>
      <c r="F14">
        <v>0</v>
      </c>
      <c r="G14">
        <v>1</v>
      </c>
      <c r="H14">
        <v>0</v>
      </c>
      <c r="I14">
        <v>0</v>
      </c>
      <c r="J14">
        <v>0</v>
      </c>
      <c r="K14">
        <v>1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 s="6" t="s">
        <v>197</v>
      </c>
    </row>
    <row r="15" spans="1:20" x14ac:dyDescent="0.25">
      <c r="A15" s="6" t="s">
        <v>157</v>
      </c>
      <c r="B15">
        <v>4</v>
      </c>
      <c r="C15">
        <v>1</v>
      </c>
      <c r="D15">
        <v>0</v>
      </c>
      <c r="E15">
        <v>1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 s="6" t="s">
        <v>197</v>
      </c>
    </row>
    <row r="16" spans="1:20" x14ac:dyDescent="0.25">
      <c r="A16" s="6" t="s">
        <v>158</v>
      </c>
      <c r="B16">
        <v>5</v>
      </c>
      <c r="C16">
        <v>1</v>
      </c>
      <c r="D16">
        <v>0</v>
      </c>
      <c r="E16">
        <v>1</v>
      </c>
      <c r="F16">
        <v>0</v>
      </c>
      <c r="G16">
        <v>1</v>
      </c>
      <c r="H16">
        <v>0</v>
      </c>
      <c r="I16">
        <v>0</v>
      </c>
      <c r="J16">
        <v>0</v>
      </c>
      <c r="K16">
        <v>1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 s="6" t="s">
        <v>197</v>
      </c>
    </row>
    <row r="17" spans="1:20" x14ac:dyDescent="0.25">
      <c r="A17" s="6" t="s">
        <v>159</v>
      </c>
      <c r="B17">
        <v>5</v>
      </c>
      <c r="C17">
        <v>0</v>
      </c>
      <c r="D17">
        <v>0</v>
      </c>
      <c r="E17">
        <v>1</v>
      </c>
      <c r="F17">
        <v>0</v>
      </c>
      <c r="G17">
        <v>1</v>
      </c>
      <c r="H17">
        <v>0</v>
      </c>
      <c r="I17">
        <v>0</v>
      </c>
      <c r="J17">
        <v>0</v>
      </c>
      <c r="K17">
        <v>1</v>
      </c>
      <c r="L17">
        <v>0</v>
      </c>
      <c r="M17">
        <v>1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 s="6" t="s">
        <v>197</v>
      </c>
    </row>
    <row r="18" spans="1:20" x14ac:dyDescent="0.25">
      <c r="A18" s="6" t="s">
        <v>160</v>
      </c>
      <c r="B18">
        <v>3</v>
      </c>
      <c r="C18">
        <v>0</v>
      </c>
      <c r="D18">
        <v>2</v>
      </c>
      <c r="E18">
        <v>1</v>
      </c>
      <c r="F18">
        <v>0</v>
      </c>
      <c r="G18">
        <v>1</v>
      </c>
      <c r="H18">
        <v>1</v>
      </c>
      <c r="I18">
        <v>0</v>
      </c>
      <c r="J18">
        <v>0</v>
      </c>
      <c r="K18">
        <v>1</v>
      </c>
      <c r="L18">
        <v>0</v>
      </c>
      <c r="M18">
        <v>1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 s="6" t="s">
        <v>197</v>
      </c>
    </row>
    <row r="19" spans="1:20" x14ac:dyDescent="0.25">
      <c r="A19" s="6" t="s">
        <v>161</v>
      </c>
      <c r="B19">
        <v>3</v>
      </c>
      <c r="C19">
        <v>0</v>
      </c>
      <c r="D19">
        <v>2</v>
      </c>
      <c r="E19">
        <v>1</v>
      </c>
      <c r="F19">
        <v>0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 s="6" t="s">
        <v>197</v>
      </c>
    </row>
    <row r="20" spans="1:20" x14ac:dyDescent="0.25">
      <c r="A20" s="6" t="s">
        <v>162</v>
      </c>
      <c r="B20">
        <v>4</v>
      </c>
      <c r="C20">
        <v>1</v>
      </c>
      <c r="D20">
        <v>1</v>
      </c>
      <c r="E20">
        <v>2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 s="6" t="s">
        <v>197</v>
      </c>
    </row>
    <row r="21" spans="1:20" x14ac:dyDescent="0.25">
      <c r="A21" s="6" t="s">
        <v>163</v>
      </c>
      <c r="B21">
        <v>2</v>
      </c>
      <c r="C21">
        <v>1</v>
      </c>
      <c r="D21">
        <v>0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s="6" t="s">
        <v>197</v>
      </c>
    </row>
    <row r="22" spans="1:20" x14ac:dyDescent="0.25">
      <c r="A22" s="6" t="s">
        <v>164</v>
      </c>
      <c r="B22">
        <v>2</v>
      </c>
      <c r="C22">
        <v>0</v>
      </c>
      <c r="D22">
        <v>0</v>
      </c>
      <c r="E22">
        <v>1</v>
      </c>
      <c r="F22">
        <v>0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 s="6" t="s">
        <v>197</v>
      </c>
    </row>
    <row r="23" spans="1:20" x14ac:dyDescent="0.25">
      <c r="A23" s="6" t="s">
        <v>165</v>
      </c>
      <c r="B23">
        <v>2</v>
      </c>
      <c r="C23">
        <v>0</v>
      </c>
      <c r="D23">
        <v>0</v>
      </c>
      <c r="E23">
        <v>1</v>
      </c>
      <c r="F23">
        <v>0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2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 s="6" t="s">
        <v>197</v>
      </c>
    </row>
    <row r="24" spans="1:20" x14ac:dyDescent="0.25">
      <c r="A24" s="6" t="s">
        <v>166</v>
      </c>
      <c r="B24">
        <v>3</v>
      </c>
      <c r="C24">
        <v>0</v>
      </c>
      <c r="D24">
        <v>1</v>
      </c>
      <c r="E24">
        <v>2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1</v>
      </c>
      <c r="P24">
        <v>0</v>
      </c>
      <c r="Q24">
        <v>1</v>
      </c>
      <c r="R24">
        <v>0</v>
      </c>
      <c r="S24">
        <v>0</v>
      </c>
      <c r="T24" s="6" t="s">
        <v>197</v>
      </c>
    </row>
    <row r="25" spans="1:20" x14ac:dyDescent="0.25">
      <c r="A25" s="6" t="s">
        <v>167</v>
      </c>
      <c r="B25">
        <v>2</v>
      </c>
      <c r="C25">
        <v>0</v>
      </c>
      <c r="D25">
        <v>3</v>
      </c>
      <c r="E25">
        <v>1</v>
      </c>
      <c r="F25">
        <v>0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2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 s="6" t="s">
        <v>197</v>
      </c>
    </row>
    <row r="26" spans="1:20" x14ac:dyDescent="0.25">
      <c r="A26" s="6" t="s">
        <v>168</v>
      </c>
      <c r="B26">
        <v>2</v>
      </c>
      <c r="C26">
        <v>0</v>
      </c>
      <c r="D26">
        <v>2</v>
      </c>
      <c r="E26">
        <v>2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 s="6" t="s">
        <v>197</v>
      </c>
    </row>
    <row r="27" spans="1:20" x14ac:dyDescent="0.25">
      <c r="A27" s="6" t="s">
        <v>169</v>
      </c>
      <c r="B27">
        <v>3</v>
      </c>
      <c r="C27">
        <v>0</v>
      </c>
      <c r="D27">
        <v>1</v>
      </c>
      <c r="E27">
        <v>2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 s="6" t="s">
        <v>197</v>
      </c>
    </row>
    <row r="28" spans="1:20" x14ac:dyDescent="0.25">
      <c r="A28" s="6" t="s">
        <v>170</v>
      </c>
      <c r="B28">
        <v>4</v>
      </c>
      <c r="C28">
        <v>0</v>
      </c>
      <c r="D28">
        <v>0</v>
      </c>
      <c r="E28">
        <v>1</v>
      </c>
      <c r="F28">
        <v>0</v>
      </c>
      <c r="G28">
        <v>1</v>
      </c>
      <c r="H28">
        <v>1</v>
      </c>
      <c r="I28">
        <v>0</v>
      </c>
      <c r="J28">
        <v>0</v>
      </c>
      <c r="K28">
        <v>0</v>
      </c>
      <c r="L28">
        <v>0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 s="6" t="s">
        <v>197</v>
      </c>
    </row>
    <row r="29" spans="1:20" x14ac:dyDescent="0.25">
      <c r="A29" s="6" t="s">
        <v>171</v>
      </c>
      <c r="B29">
        <v>2</v>
      </c>
      <c r="C29">
        <v>0</v>
      </c>
      <c r="D29">
        <v>2</v>
      </c>
      <c r="E29">
        <v>0</v>
      </c>
      <c r="F29">
        <v>0</v>
      </c>
      <c r="G29">
        <v>2</v>
      </c>
      <c r="H29">
        <v>0</v>
      </c>
      <c r="I29">
        <v>0</v>
      </c>
      <c r="J29">
        <v>1</v>
      </c>
      <c r="K29">
        <v>0</v>
      </c>
      <c r="L29">
        <v>0</v>
      </c>
      <c r="M29">
        <v>1</v>
      </c>
      <c r="N29">
        <v>0</v>
      </c>
      <c r="O29">
        <v>0</v>
      </c>
      <c r="P29">
        <v>1</v>
      </c>
      <c r="Q29">
        <v>1</v>
      </c>
      <c r="R29">
        <v>0</v>
      </c>
      <c r="S29">
        <v>0</v>
      </c>
      <c r="T29" s="6" t="s">
        <v>197</v>
      </c>
    </row>
    <row r="30" spans="1:20" x14ac:dyDescent="0.25">
      <c r="A30" s="6" t="s">
        <v>172</v>
      </c>
      <c r="B30">
        <v>2</v>
      </c>
      <c r="C30">
        <v>0</v>
      </c>
      <c r="D30">
        <v>4</v>
      </c>
      <c r="E30">
        <v>0</v>
      </c>
      <c r="F30">
        <v>0</v>
      </c>
      <c r="G30">
        <v>2</v>
      </c>
      <c r="H30">
        <v>1</v>
      </c>
      <c r="I30">
        <v>0</v>
      </c>
      <c r="J30">
        <v>0</v>
      </c>
      <c r="K30">
        <v>1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 s="6" t="s">
        <v>197</v>
      </c>
    </row>
    <row r="31" spans="1:20" x14ac:dyDescent="0.25">
      <c r="A31" s="6" t="s">
        <v>173</v>
      </c>
      <c r="B31">
        <v>5</v>
      </c>
      <c r="C31">
        <v>0</v>
      </c>
      <c r="D31">
        <v>3</v>
      </c>
      <c r="E31">
        <v>0</v>
      </c>
      <c r="F31">
        <v>0</v>
      </c>
      <c r="G31">
        <v>2</v>
      </c>
      <c r="H31">
        <v>0</v>
      </c>
      <c r="I31">
        <v>0</v>
      </c>
      <c r="J31">
        <v>1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 s="6" t="s">
        <v>197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C30AC-FE69-422A-ACD0-36B898824B42}">
  <dimension ref="A1:S35"/>
  <sheetViews>
    <sheetView workbookViewId="0">
      <selection activeCell="A3" sqref="A3:S32"/>
    </sheetView>
  </sheetViews>
  <sheetFormatPr defaultRowHeight="15" x14ac:dyDescent="0.25"/>
  <cols>
    <col min="1" max="1" width="31.7109375" bestFit="1" customWidth="1"/>
  </cols>
  <sheetData>
    <row r="1" spans="1:19" x14ac:dyDescent="0.25">
      <c r="A1" s="1"/>
      <c r="B1" s="4" t="s">
        <v>0</v>
      </c>
      <c r="C1" s="4"/>
      <c r="D1" s="4"/>
      <c r="E1" s="4" t="s">
        <v>1</v>
      </c>
      <c r="F1" s="4"/>
      <c r="G1" s="4"/>
      <c r="H1" s="4" t="s">
        <v>2</v>
      </c>
      <c r="I1" s="4"/>
      <c r="J1" s="4"/>
      <c r="K1" s="4" t="s">
        <v>3</v>
      </c>
      <c r="L1" s="4"/>
      <c r="M1" s="4"/>
      <c r="N1" s="4" t="s">
        <v>4</v>
      </c>
      <c r="O1" s="4"/>
      <c r="P1" s="4"/>
      <c r="Q1" s="4" t="s">
        <v>5</v>
      </c>
      <c r="R1" s="4"/>
      <c r="S1" s="4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144</v>
      </c>
      <c r="B3">
        <v>4</v>
      </c>
      <c r="C3">
        <v>0</v>
      </c>
      <c r="D3">
        <v>0</v>
      </c>
      <c r="E3">
        <v>1</v>
      </c>
      <c r="F3">
        <v>0</v>
      </c>
      <c r="G3">
        <v>2</v>
      </c>
      <c r="H3">
        <v>0</v>
      </c>
      <c r="I3">
        <v>0</v>
      </c>
      <c r="J3">
        <v>1</v>
      </c>
      <c r="K3">
        <v>0</v>
      </c>
      <c r="L3">
        <v>0</v>
      </c>
      <c r="M3">
        <v>1</v>
      </c>
      <c r="N3">
        <v>1</v>
      </c>
      <c r="O3">
        <v>1</v>
      </c>
      <c r="P3">
        <v>0</v>
      </c>
      <c r="Q3">
        <v>1</v>
      </c>
      <c r="R3">
        <v>0</v>
      </c>
      <c r="S3">
        <v>0</v>
      </c>
    </row>
    <row r="4" spans="1:19" x14ac:dyDescent="0.25">
      <c r="A4" t="s">
        <v>145</v>
      </c>
      <c r="B4">
        <v>5</v>
      </c>
      <c r="C4">
        <v>0</v>
      </c>
      <c r="D4">
        <v>3</v>
      </c>
      <c r="E4">
        <v>1</v>
      </c>
      <c r="F4">
        <v>0</v>
      </c>
      <c r="G4">
        <v>1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 t="s">
        <v>146</v>
      </c>
      <c r="B5">
        <v>5</v>
      </c>
      <c r="C5">
        <v>0</v>
      </c>
      <c r="D5">
        <v>3</v>
      </c>
      <c r="E5">
        <v>1</v>
      </c>
      <c r="F5">
        <v>0</v>
      </c>
      <c r="G5">
        <v>1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t="s">
        <v>147</v>
      </c>
      <c r="B6">
        <v>5</v>
      </c>
      <c r="C6">
        <v>1</v>
      </c>
      <c r="D6">
        <v>2</v>
      </c>
      <c r="E6">
        <v>1</v>
      </c>
      <c r="F6">
        <v>0</v>
      </c>
      <c r="G6">
        <v>1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t="s">
        <v>148</v>
      </c>
      <c r="B7">
        <v>4</v>
      </c>
      <c r="C7">
        <v>0</v>
      </c>
      <c r="D7">
        <v>2</v>
      </c>
      <c r="E7">
        <v>1</v>
      </c>
      <c r="F7">
        <v>0</v>
      </c>
      <c r="G7">
        <v>1</v>
      </c>
      <c r="H7">
        <v>1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</row>
    <row r="8" spans="1:19" x14ac:dyDescent="0.25">
      <c r="A8" t="s">
        <v>149</v>
      </c>
      <c r="B8">
        <v>3</v>
      </c>
      <c r="C8">
        <v>0</v>
      </c>
      <c r="D8">
        <v>3</v>
      </c>
      <c r="E8">
        <v>1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</row>
    <row r="9" spans="1:19" x14ac:dyDescent="0.25">
      <c r="A9" t="s">
        <v>150</v>
      </c>
      <c r="B9">
        <v>3</v>
      </c>
      <c r="C9">
        <v>0</v>
      </c>
      <c r="D9">
        <v>3</v>
      </c>
      <c r="E9">
        <v>0</v>
      </c>
      <c r="F9">
        <v>0</v>
      </c>
      <c r="G9">
        <v>2</v>
      </c>
      <c r="H9">
        <v>1</v>
      </c>
      <c r="I9">
        <v>0</v>
      </c>
      <c r="J9">
        <v>0</v>
      </c>
      <c r="K9">
        <v>1</v>
      </c>
      <c r="L9">
        <v>1</v>
      </c>
      <c r="M9">
        <v>1</v>
      </c>
      <c r="N9">
        <v>0</v>
      </c>
      <c r="O9">
        <v>1</v>
      </c>
      <c r="P9">
        <v>1</v>
      </c>
      <c r="Q9">
        <v>1</v>
      </c>
      <c r="R9">
        <v>0</v>
      </c>
      <c r="S9">
        <v>0</v>
      </c>
    </row>
    <row r="10" spans="1:19" x14ac:dyDescent="0.25">
      <c r="A10" t="s">
        <v>151</v>
      </c>
      <c r="B10">
        <v>4</v>
      </c>
      <c r="C10">
        <v>0</v>
      </c>
      <c r="D10">
        <v>2</v>
      </c>
      <c r="E10">
        <v>1</v>
      </c>
      <c r="F10">
        <v>0</v>
      </c>
      <c r="G10">
        <v>1</v>
      </c>
      <c r="H10">
        <v>0</v>
      </c>
      <c r="I10">
        <v>0</v>
      </c>
      <c r="J10">
        <v>0</v>
      </c>
      <c r="K10">
        <v>2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</row>
    <row r="11" spans="1:19" x14ac:dyDescent="0.25">
      <c r="A11" t="s">
        <v>152</v>
      </c>
      <c r="B11">
        <v>3</v>
      </c>
      <c r="C11">
        <v>0</v>
      </c>
      <c r="D11">
        <v>3</v>
      </c>
      <c r="E11">
        <v>1</v>
      </c>
      <c r="F11">
        <v>0</v>
      </c>
      <c r="G11">
        <v>1</v>
      </c>
      <c r="H11">
        <v>1</v>
      </c>
      <c r="I11">
        <v>0</v>
      </c>
      <c r="J11">
        <v>0</v>
      </c>
      <c r="K11">
        <v>2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</row>
    <row r="12" spans="1:19" x14ac:dyDescent="0.25">
      <c r="A12" t="s">
        <v>153</v>
      </c>
      <c r="B12">
        <v>3</v>
      </c>
      <c r="C12">
        <v>0</v>
      </c>
      <c r="D12">
        <v>3</v>
      </c>
      <c r="E12">
        <v>1</v>
      </c>
      <c r="F12">
        <v>0</v>
      </c>
      <c r="G12">
        <v>1</v>
      </c>
      <c r="H12">
        <v>0</v>
      </c>
      <c r="I12">
        <v>0</v>
      </c>
      <c r="J12">
        <v>1</v>
      </c>
      <c r="K12">
        <v>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</row>
    <row r="13" spans="1:19" x14ac:dyDescent="0.25">
      <c r="A13" t="s">
        <v>154</v>
      </c>
      <c r="B13">
        <v>5</v>
      </c>
      <c r="C13">
        <v>0</v>
      </c>
      <c r="D13">
        <v>1</v>
      </c>
      <c r="E13">
        <v>1</v>
      </c>
      <c r="F13">
        <v>0</v>
      </c>
      <c r="G13">
        <v>1</v>
      </c>
      <c r="H13">
        <v>0</v>
      </c>
      <c r="I13">
        <v>0</v>
      </c>
      <c r="J13">
        <v>0</v>
      </c>
      <c r="K13">
        <v>1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1</v>
      </c>
    </row>
    <row r="14" spans="1:19" x14ac:dyDescent="0.25">
      <c r="A14" t="s">
        <v>155</v>
      </c>
      <c r="B14">
        <v>4</v>
      </c>
      <c r="C14">
        <v>0</v>
      </c>
      <c r="D14">
        <v>1</v>
      </c>
      <c r="E14">
        <v>2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</row>
    <row r="15" spans="1:19" x14ac:dyDescent="0.25">
      <c r="A15" t="s">
        <v>156</v>
      </c>
      <c r="B15">
        <v>5</v>
      </c>
      <c r="C15">
        <v>0</v>
      </c>
      <c r="D15">
        <v>1</v>
      </c>
      <c r="E15">
        <v>1</v>
      </c>
      <c r="F15">
        <v>0</v>
      </c>
      <c r="G15">
        <v>1</v>
      </c>
      <c r="H15">
        <v>0</v>
      </c>
      <c r="I15">
        <v>0</v>
      </c>
      <c r="J15">
        <v>0</v>
      </c>
      <c r="K15">
        <v>1</v>
      </c>
      <c r="L15">
        <v>0</v>
      </c>
      <c r="M15">
        <v>1</v>
      </c>
      <c r="N15">
        <v>0</v>
      </c>
      <c r="O15">
        <v>1</v>
      </c>
      <c r="P15">
        <v>0</v>
      </c>
      <c r="Q15">
        <v>1</v>
      </c>
      <c r="R15">
        <v>0</v>
      </c>
      <c r="S15">
        <v>0</v>
      </c>
    </row>
    <row r="16" spans="1:19" x14ac:dyDescent="0.25">
      <c r="A16" t="s">
        <v>157</v>
      </c>
      <c r="B16">
        <v>4</v>
      </c>
      <c r="C16">
        <v>1</v>
      </c>
      <c r="D16">
        <v>0</v>
      </c>
      <c r="E16">
        <v>1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t="s">
        <v>158</v>
      </c>
      <c r="B17">
        <v>5</v>
      </c>
      <c r="C17">
        <v>1</v>
      </c>
      <c r="D17">
        <v>0</v>
      </c>
      <c r="E17">
        <v>1</v>
      </c>
      <c r="F17">
        <v>0</v>
      </c>
      <c r="G17">
        <v>1</v>
      </c>
      <c r="H17">
        <v>0</v>
      </c>
      <c r="I17">
        <v>0</v>
      </c>
      <c r="J17">
        <v>0</v>
      </c>
      <c r="K17">
        <v>1</v>
      </c>
      <c r="L17">
        <v>0</v>
      </c>
      <c r="M17">
        <v>1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t="s">
        <v>159</v>
      </c>
      <c r="B18">
        <v>5</v>
      </c>
      <c r="C18">
        <v>0</v>
      </c>
      <c r="D18">
        <v>0</v>
      </c>
      <c r="E18">
        <v>1</v>
      </c>
      <c r="F18">
        <v>0</v>
      </c>
      <c r="G18">
        <v>1</v>
      </c>
      <c r="H18">
        <v>0</v>
      </c>
      <c r="I18">
        <v>0</v>
      </c>
      <c r="J18">
        <v>0</v>
      </c>
      <c r="K18">
        <v>1</v>
      </c>
      <c r="L18">
        <v>0</v>
      </c>
      <c r="M18">
        <v>1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160</v>
      </c>
      <c r="B19">
        <v>3</v>
      </c>
      <c r="C19">
        <v>0</v>
      </c>
      <c r="D19">
        <v>2</v>
      </c>
      <c r="E19">
        <v>1</v>
      </c>
      <c r="F19">
        <v>0</v>
      </c>
      <c r="G19">
        <v>1</v>
      </c>
      <c r="H19">
        <v>1</v>
      </c>
      <c r="I19">
        <v>0</v>
      </c>
      <c r="J19">
        <v>0</v>
      </c>
      <c r="K19">
        <v>1</v>
      </c>
      <c r="L19">
        <v>0</v>
      </c>
      <c r="M19">
        <v>1</v>
      </c>
      <c r="N19">
        <v>0</v>
      </c>
      <c r="O19">
        <v>1</v>
      </c>
      <c r="P19">
        <v>1</v>
      </c>
      <c r="Q19">
        <v>0</v>
      </c>
      <c r="R19">
        <v>0</v>
      </c>
      <c r="S19">
        <v>0</v>
      </c>
    </row>
    <row r="20" spans="1:19" x14ac:dyDescent="0.25">
      <c r="A20" t="s">
        <v>161</v>
      </c>
      <c r="B20">
        <v>3</v>
      </c>
      <c r="C20">
        <v>0</v>
      </c>
      <c r="D20">
        <v>2</v>
      </c>
      <c r="E20">
        <v>1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t="s">
        <v>162</v>
      </c>
      <c r="B21">
        <v>4</v>
      </c>
      <c r="C21">
        <v>1</v>
      </c>
      <c r="D21">
        <v>1</v>
      </c>
      <c r="E21">
        <v>2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 t="s">
        <v>163</v>
      </c>
      <c r="B22">
        <v>2</v>
      </c>
      <c r="C22">
        <v>1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 t="s">
        <v>164</v>
      </c>
      <c r="B23">
        <v>2</v>
      </c>
      <c r="C23">
        <v>0</v>
      </c>
      <c r="D23">
        <v>0</v>
      </c>
      <c r="E23">
        <v>1</v>
      </c>
      <c r="F23">
        <v>0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 t="s">
        <v>165</v>
      </c>
      <c r="B24">
        <v>2</v>
      </c>
      <c r="C24">
        <v>0</v>
      </c>
      <c r="D24">
        <v>0</v>
      </c>
      <c r="E24">
        <v>1</v>
      </c>
      <c r="F24">
        <v>0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2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 t="s">
        <v>166</v>
      </c>
      <c r="B25">
        <v>3</v>
      </c>
      <c r="C25">
        <v>0</v>
      </c>
      <c r="D25">
        <v>1</v>
      </c>
      <c r="E25">
        <v>2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0</v>
      </c>
      <c r="Q25">
        <v>1</v>
      </c>
      <c r="R25">
        <v>0</v>
      </c>
      <c r="S25">
        <v>0</v>
      </c>
    </row>
    <row r="26" spans="1:19" x14ac:dyDescent="0.25">
      <c r="A26" t="s">
        <v>167</v>
      </c>
      <c r="B26">
        <v>2</v>
      </c>
      <c r="C26">
        <v>0</v>
      </c>
      <c r="D26">
        <v>3</v>
      </c>
      <c r="E26">
        <v>1</v>
      </c>
      <c r="F26">
        <v>0</v>
      </c>
      <c r="G26">
        <v>1</v>
      </c>
      <c r="H26">
        <v>1</v>
      </c>
      <c r="I26">
        <v>0</v>
      </c>
      <c r="J26">
        <v>0</v>
      </c>
      <c r="K26">
        <v>0</v>
      </c>
      <c r="L26">
        <v>0</v>
      </c>
      <c r="M26">
        <v>2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</row>
    <row r="27" spans="1:19" x14ac:dyDescent="0.25">
      <c r="A27" t="s">
        <v>168</v>
      </c>
      <c r="B27">
        <v>2</v>
      </c>
      <c r="C27">
        <v>0</v>
      </c>
      <c r="D27">
        <v>2</v>
      </c>
      <c r="E27">
        <v>2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 t="s">
        <v>169</v>
      </c>
      <c r="B28">
        <v>3</v>
      </c>
      <c r="C28">
        <v>0</v>
      </c>
      <c r="D28">
        <v>1</v>
      </c>
      <c r="E28">
        <v>2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 t="s">
        <v>170</v>
      </c>
      <c r="B29">
        <v>4</v>
      </c>
      <c r="C29">
        <v>0</v>
      </c>
      <c r="D29">
        <v>0</v>
      </c>
      <c r="E29">
        <v>1</v>
      </c>
      <c r="F29">
        <v>0</v>
      </c>
      <c r="G29">
        <v>1</v>
      </c>
      <c r="H29">
        <v>1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 t="s">
        <v>171</v>
      </c>
      <c r="B30">
        <v>2</v>
      </c>
      <c r="C30">
        <v>0</v>
      </c>
      <c r="D30">
        <v>2</v>
      </c>
      <c r="E30">
        <v>0</v>
      </c>
      <c r="F30">
        <v>0</v>
      </c>
      <c r="G30">
        <v>2</v>
      </c>
      <c r="H30">
        <v>0</v>
      </c>
      <c r="I30">
        <v>0</v>
      </c>
      <c r="J30">
        <v>1</v>
      </c>
      <c r="K30">
        <v>0</v>
      </c>
      <c r="L30">
        <v>0</v>
      </c>
      <c r="M30">
        <v>1</v>
      </c>
      <c r="N30">
        <v>0</v>
      </c>
      <c r="O30">
        <v>0</v>
      </c>
      <c r="P30">
        <v>1</v>
      </c>
      <c r="Q30">
        <v>1</v>
      </c>
      <c r="R30">
        <v>0</v>
      </c>
      <c r="S30">
        <v>0</v>
      </c>
    </row>
    <row r="31" spans="1:19" x14ac:dyDescent="0.25">
      <c r="A31" t="s">
        <v>172</v>
      </c>
      <c r="B31">
        <v>2</v>
      </c>
      <c r="C31">
        <v>0</v>
      </c>
      <c r="D31">
        <v>4</v>
      </c>
      <c r="E31">
        <v>0</v>
      </c>
      <c r="F31">
        <v>0</v>
      </c>
      <c r="G31">
        <v>2</v>
      </c>
      <c r="H31">
        <v>1</v>
      </c>
      <c r="I31">
        <v>0</v>
      </c>
      <c r="J31">
        <v>0</v>
      </c>
      <c r="K31">
        <v>1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</row>
    <row r="32" spans="1:19" x14ac:dyDescent="0.25">
      <c r="A32" t="s">
        <v>173</v>
      </c>
      <c r="B32">
        <v>5</v>
      </c>
      <c r="C32">
        <v>0</v>
      </c>
      <c r="D32">
        <v>3</v>
      </c>
      <c r="E32">
        <v>0</v>
      </c>
      <c r="F32">
        <v>0</v>
      </c>
      <c r="G32">
        <v>2</v>
      </c>
      <c r="H32">
        <v>0</v>
      </c>
      <c r="I32">
        <v>0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</row>
    <row r="33" spans="1:19" x14ac:dyDescent="0.25">
      <c r="A33" s="1" t="s">
        <v>174</v>
      </c>
      <c r="B33" s="1">
        <f>SUM(B3:B32)</f>
        <v>106</v>
      </c>
      <c r="C33" s="1">
        <f t="shared" ref="C33:S33" si="0">SUM(C3:C32)</f>
        <v>5</v>
      </c>
      <c r="D33" s="1">
        <f t="shared" si="0"/>
        <v>48</v>
      </c>
      <c r="E33" s="1">
        <f t="shared" si="0"/>
        <v>32</v>
      </c>
      <c r="F33" s="1">
        <f t="shared" si="0"/>
        <v>0</v>
      </c>
      <c r="G33" s="1">
        <f t="shared" si="0"/>
        <v>29</v>
      </c>
      <c r="H33" s="1">
        <f t="shared" si="0"/>
        <v>16</v>
      </c>
      <c r="I33" s="1">
        <f t="shared" si="0"/>
        <v>0</v>
      </c>
      <c r="J33" s="1">
        <f t="shared" si="0"/>
        <v>5</v>
      </c>
      <c r="K33" s="1">
        <f t="shared" si="0"/>
        <v>18</v>
      </c>
      <c r="L33" s="1">
        <f t="shared" si="0"/>
        <v>2</v>
      </c>
      <c r="M33" s="1">
        <f t="shared" si="0"/>
        <v>19</v>
      </c>
      <c r="N33" s="1">
        <f t="shared" si="0"/>
        <v>7</v>
      </c>
      <c r="O33" s="1">
        <f t="shared" si="0"/>
        <v>13</v>
      </c>
      <c r="P33" s="1">
        <f t="shared" si="0"/>
        <v>4</v>
      </c>
      <c r="Q33" s="1">
        <f t="shared" si="0"/>
        <v>13</v>
      </c>
      <c r="R33" s="1">
        <f t="shared" si="0"/>
        <v>0</v>
      </c>
      <c r="S33" s="1">
        <f t="shared" si="0"/>
        <v>2</v>
      </c>
    </row>
    <row r="34" spans="1:19" x14ac:dyDescent="0.25">
      <c r="A34" s="1" t="s">
        <v>175</v>
      </c>
      <c r="B34" s="5">
        <f>B33 / (B33 + C33)</f>
        <v>0.95495495495495497</v>
      </c>
      <c r="C34" s="5"/>
      <c r="D34" s="5"/>
      <c r="E34" s="5">
        <f t="shared" ref="E34" si="1">E33 / (E33 + F33)</f>
        <v>1</v>
      </c>
      <c r="F34" s="5"/>
      <c r="G34" s="5"/>
      <c r="H34" s="5">
        <f t="shared" ref="H34" si="2">H33 / (H33 + I33)</f>
        <v>1</v>
      </c>
      <c r="I34" s="5"/>
      <c r="J34" s="5"/>
      <c r="K34" s="5">
        <f t="shared" ref="K34" si="3">K33 / (K33 + L33)</f>
        <v>0.9</v>
      </c>
      <c r="L34" s="5"/>
      <c r="M34" s="5"/>
      <c r="N34" s="5">
        <f t="shared" ref="N34" si="4">N33 / (N33 + O33)</f>
        <v>0.35</v>
      </c>
      <c r="O34" s="5"/>
      <c r="P34" s="5"/>
      <c r="Q34" s="5">
        <f t="shared" ref="Q34" si="5">Q33 / (Q33 + R33)</f>
        <v>1</v>
      </c>
      <c r="R34" s="5"/>
      <c r="S34" s="5"/>
    </row>
    <row r="35" spans="1:19" x14ac:dyDescent="0.25">
      <c r="A35" s="1" t="s">
        <v>176</v>
      </c>
      <c r="B35" s="5">
        <f xml:space="preserve"> B33 / (B33 + D33)</f>
        <v>0.68831168831168832</v>
      </c>
      <c r="C35" s="5"/>
      <c r="D35" s="5"/>
      <c r="E35" s="5">
        <f t="shared" ref="E35" si="6" xml:space="preserve"> E33 / (E33 + G33)</f>
        <v>0.52459016393442626</v>
      </c>
      <c r="F35" s="5"/>
      <c r="G35" s="5"/>
      <c r="H35" s="5">
        <f t="shared" ref="H35" si="7" xml:space="preserve"> H33 / (H33 + J33)</f>
        <v>0.76190476190476186</v>
      </c>
      <c r="I35" s="5"/>
      <c r="J35" s="5"/>
      <c r="K35" s="5">
        <f t="shared" ref="K35" si="8" xml:space="preserve"> K33 / (K33 + M33)</f>
        <v>0.48648648648648651</v>
      </c>
      <c r="L35" s="5"/>
      <c r="M35" s="5"/>
      <c r="N35" s="5">
        <f t="shared" ref="N35" si="9" xml:space="preserve"> N33 / (N33 + P33)</f>
        <v>0.63636363636363635</v>
      </c>
      <c r="O35" s="5"/>
      <c r="P35" s="5"/>
      <c r="Q35" s="5">
        <f t="shared" ref="Q35" si="10" xml:space="preserve"> Q33 / (Q33 + S33)</f>
        <v>0.8666666666666667</v>
      </c>
      <c r="R35" s="5"/>
      <c r="S35" s="5"/>
    </row>
  </sheetData>
  <mergeCells count="18">
    <mergeCell ref="Q35:S35"/>
    <mergeCell ref="B34:D34"/>
    <mergeCell ref="E34:G34"/>
    <mergeCell ref="H34:J34"/>
    <mergeCell ref="K34:M34"/>
    <mergeCell ref="N34:P34"/>
    <mergeCell ref="Q34:S34"/>
    <mergeCell ref="B35:D35"/>
    <mergeCell ref="E35:G35"/>
    <mergeCell ref="H35:J35"/>
    <mergeCell ref="K35:M35"/>
    <mergeCell ref="N35:P35"/>
    <mergeCell ref="Q1:S1"/>
    <mergeCell ref="B1:D1"/>
    <mergeCell ref="E1:G1"/>
    <mergeCell ref="H1:J1"/>
    <mergeCell ref="K1:M1"/>
    <mergeCell ref="N1:P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3CFDD-D3A3-4E95-B1D9-BB2C2B97D42C}">
  <dimension ref="A1:S5"/>
  <sheetViews>
    <sheetView tabSelected="1" workbookViewId="0">
      <selection activeCell="K23" sqref="K23"/>
    </sheetView>
  </sheetViews>
  <sheetFormatPr defaultRowHeight="15" x14ac:dyDescent="0.25"/>
  <sheetData>
    <row r="1" spans="1:19" x14ac:dyDescent="0.25">
      <c r="B1" s="4" t="s">
        <v>0</v>
      </c>
      <c r="C1" s="4"/>
      <c r="D1" s="4"/>
      <c r="E1" s="4" t="s">
        <v>1</v>
      </c>
      <c r="F1" s="4"/>
      <c r="G1" s="4"/>
      <c r="H1" s="4" t="s">
        <v>2</v>
      </c>
      <c r="I1" s="4"/>
      <c r="J1" s="4"/>
      <c r="K1" s="4" t="s">
        <v>3</v>
      </c>
      <c r="L1" s="4"/>
      <c r="M1" s="4"/>
      <c r="N1" s="4" t="s">
        <v>4</v>
      </c>
      <c r="O1" s="4"/>
      <c r="P1" s="4"/>
      <c r="Q1" s="4" t="s">
        <v>5</v>
      </c>
      <c r="R1" s="4"/>
      <c r="S1" s="4"/>
    </row>
    <row r="2" spans="1:19" x14ac:dyDescent="0.25"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B3" s="3">
        <f>SUM('rodada 1'!B37,'rodada 2'!B35,'rodada 3'!B44,'rodada 4'!B30,'rodada 5'!B33,)</f>
        <v>337</v>
      </c>
      <c r="C3" s="3">
        <f>SUM('rodada 1'!C37,'rodada 2'!C35,'rodada 3'!C44,'rodada 4'!C30,'rodada 5'!C33,)</f>
        <v>35</v>
      </c>
      <c r="D3" s="3">
        <f>SUM('rodada 1'!D37,'rodada 2'!D35,'rodada 3'!D44,'rodada 4'!D30,'rodada 5'!D33,)</f>
        <v>268</v>
      </c>
      <c r="E3" s="3">
        <f>SUM('rodada 1'!E37,'rodada 2'!E35,'rodada 3'!E44,'rodada 4'!E30,'rodada 5'!E33,)</f>
        <v>137</v>
      </c>
      <c r="F3" s="3">
        <f>SUM('rodada 1'!F37,'rodada 2'!F35,'rodada 3'!F44,'rodada 4'!F30,'rodada 5'!F33,)</f>
        <v>9</v>
      </c>
      <c r="G3" s="3">
        <f>SUM('rodada 1'!G37,'rodada 2'!G35,'rodada 3'!G44,'rodada 4'!G30,'rodada 5'!G33,)</f>
        <v>67</v>
      </c>
      <c r="H3" s="3">
        <f>SUM('rodada 1'!H37,'rodada 2'!H35,'rodada 3'!H44,'rodada 4'!H30,'rodada 5'!H33,)</f>
        <v>27</v>
      </c>
      <c r="I3" s="3">
        <f>SUM('rodada 1'!I37,'rodada 2'!I35,'rodada 3'!I44,'rodada 4'!I30,'rodada 5'!I33,)</f>
        <v>12</v>
      </c>
      <c r="J3" s="3">
        <f>SUM('rodada 1'!J37,'rodada 2'!J35,'rodada 3'!J44,'rodada 4'!J30,'rodada 5'!J33,)</f>
        <v>79</v>
      </c>
      <c r="K3" s="3">
        <f>SUM('rodada 1'!K37,'rodada 2'!K35,'rodada 3'!K44,'rodada 4'!K30,'rodada 5'!K33,)</f>
        <v>77</v>
      </c>
      <c r="L3" s="3">
        <f>SUM('rodada 1'!L37,'rodada 2'!L35,'rodada 3'!L44,'rodada 4'!L30,'rodada 5'!L33,)</f>
        <v>19</v>
      </c>
      <c r="M3" s="3">
        <f>SUM('rodada 1'!M37,'rodada 2'!M35,'rodada 3'!M44,'rodada 4'!M30,'rodada 5'!M33,)</f>
        <v>61</v>
      </c>
      <c r="N3" s="3">
        <f>SUM('rodada 1'!N37,'rodada 2'!N35,'rodada 3'!N44,'rodada 4'!N30,'rodada 5'!N33,)</f>
        <v>49</v>
      </c>
      <c r="O3" s="3">
        <f>SUM('rodada 1'!O37,'rodada 2'!O35,'rodada 3'!O44,'rodada 4'!O30,'rodada 5'!O33,)</f>
        <v>35</v>
      </c>
      <c r="P3" s="3">
        <f>SUM('rodada 1'!P37,'rodada 2'!P35,'rodada 3'!P44,'rodada 4'!P30,'rodada 5'!P33,)</f>
        <v>34</v>
      </c>
      <c r="Q3" s="3">
        <f>SUM('rodada 1'!Q37,'rodada 2'!Q35,'rodada 3'!Q44,'rodada 4'!Q30,'rodada 5'!Q33,)</f>
        <v>41</v>
      </c>
      <c r="R3" s="3">
        <f>SUM('rodada 1'!R37,'rodada 2'!R35,'rodada 3'!R44,'rodada 4'!R30,'rodada 5'!R33,)</f>
        <v>7</v>
      </c>
      <c r="S3" s="3">
        <f>SUM('rodada 1'!S37,'rodada 2'!S35,'rodada 3'!S44,'rodada 4'!S30,'rodada 5'!S33,)</f>
        <v>36</v>
      </c>
    </row>
    <row r="4" spans="1:19" x14ac:dyDescent="0.25">
      <c r="A4" s="1" t="s">
        <v>175</v>
      </c>
      <c r="B4" s="5">
        <f>B3 / (B3 + C3)</f>
        <v>0.90591397849462363</v>
      </c>
      <c r="C4" s="5"/>
      <c r="D4" s="5"/>
      <c r="E4" s="5">
        <f t="shared" ref="E4" si="0">E3 / (E3 + F3)</f>
        <v>0.93835616438356162</v>
      </c>
      <c r="F4" s="5"/>
      <c r="G4" s="5"/>
      <c r="H4" s="5">
        <f t="shared" ref="H4" si="1">H3 / (H3 + I3)</f>
        <v>0.69230769230769229</v>
      </c>
      <c r="I4" s="5"/>
      <c r="J4" s="5"/>
      <c r="K4" s="5">
        <f t="shared" ref="K4" si="2">K3 / (K3 + L3)</f>
        <v>0.80208333333333337</v>
      </c>
      <c r="L4" s="5"/>
      <c r="M4" s="5"/>
      <c r="N4" s="5">
        <f t="shared" ref="N4" si="3">N3 / (N3 + O3)</f>
        <v>0.58333333333333337</v>
      </c>
      <c r="O4" s="5"/>
      <c r="P4" s="5"/>
      <c r="Q4" s="5">
        <f t="shared" ref="Q4" si="4">Q3 / (Q3 + R3)</f>
        <v>0.85416666666666663</v>
      </c>
      <c r="R4" s="5"/>
      <c r="S4" s="5"/>
    </row>
    <row r="5" spans="1:19" x14ac:dyDescent="0.25">
      <c r="A5" s="1" t="s">
        <v>176</v>
      </c>
      <c r="B5" s="5">
        <f xml:space="preserve"> B3 / (B3 + D3)</f>
        <v>0.55702479338842981</v>
      </c>
      <c r="C5" s="5"/>
      <c r="D5" s="5"/>
      <c r="E5" s="5">
        <f t="shared" ref="E5" si="5" xml:space="preserve"> E3 / (E3 + G3)</f>
        <v>0.67156862745098034</v>
      </c>
      <c r="F5" s="5"/>
      <c r="G5" s="5"/>
      <c r="H5" s="5">
        <f t="shared" ref="H5" si="6" xml:space="preserve"> H3 / (H3 + J3)</f>
        <v>0.25471698113207547</v>
      </c>
      <c r="I5" s="5"/>
      <c r="J5" s="5"/>
      <c r="K5" s="5">
        <f t="shared" ref="K5" si="7" xml:space="preserve"> K3 / (K3 + M3)</f>
        <v>0.55797101449275366</v>
      </c>
      <c r="L5" s="5"/>
      <c r="M5" s="5"/>
      <c r="N5" s="5">
        <f t="shared" ref="N5" si="8" xml:space="preserve"> N3 / (N3 + P3)</f>
        <v>0.59036144578313254</v>
      </c>
      <c r="O5" s="5"/>
      <c r="P5" s="5"/>
      <c r="Q5" s="5">
        <f t="shared" ref="Q5" si="9" xml:space="preserve"> Q3 / (Q3 + S3)</f>
        <v>0.53246753246753242</v>
      </c>
      <c r="R5" s="5"/>
      <c r="S5" s="5"/>
    </row>
  </sheetData>
  <mergeCells count="18">
    <mergeCell ref="Q1:S1"/>
    <mergeCell ref="B1:D1"/>
    <mergeCell ref="E1:G1"/>
    <mergeCell ref="H1:J1"/>
    <mergeCell ref="K1:M1"/>
    <mergeCell ref="N1:P1"/>
    <mergeCell ref="Q5:S5"/>
    <mergeCell ref="B4:D4"/>
    <mergeCell ref="E4:G4"/>
    <mergeCell ref="H4:J4"/>
    <mergeCell ref="K4:M4"/>
    <mergeCell ref="N4:P4"/>
    <mergeCell ref="Q4:S4"/>
    <mergeCell ref="B5:D5"/>
    <mergeCell ref="E5:G5"/>
    <mergeCell ref="H5:J5"/>
    <mergeCell ref="K5:M5"/>
    <mergeCell ref="N5:P5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99EDDF-666E-4054-8E78-4660159DAF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rodada 1</vt:lpstr>
      <vt:lpstr>rodada 2</vt:lpstr>
      <vt:lpstr>rodada 3</vt:lpstr>
      <vt:lpstr>rodada 4</vt:lpstr>
      <vt:lpstr>Rodada_5_Yolo</vt:lpstr>
      <vt:lpstr>rodada 5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Pires Savassa</dc:creator>
  <cp:lastModifiedBy>Eduardo Luiz de Souza Sobrinho</cp:lastModifiedBy>
  <dcterms:created xsi:type="dcterms:W3CDTF">2024-10-19T19:32:59Z</dcterms:created>
  <dcterms:modified xsi:type="dcterms:W3CDTF">2024-11-03T04:42:04Z</dcterms:modified>
</cp:coreProperties>
</file>