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Custom vision\Mid chaos\"/>
    </mc:Choice>
  </mc:AlternateContent>
  <xr:revisionPtr revIDLastSave="0" documentId="13_ncr:1_{1CE07D0B-D261-46A8-BCD0-EF6E161A0947}" xr6:coauthVersionLast="47" xr6:coauthVersionMax="47" xr10:uidLastSave="{00000000-0000-0000-0000-000000000000}"/>
  <bookViews>
    <workbookView xWindow="-120" yWindow="-120" windowWidth="29040" windowHeight="15720" activeTab="10" xr2:uid="{488473F3-2F78-4DE6-BFA3-32B6303924AC}"/>
  </bookViews>
  <sheets>
    <sheet name="rodada 1" sheetId="1" r:id="rId1"/>
    <sheet name="rodada 2" sheetId="2" r:id="rId2"/>
    <sheet name="rodada 3" sheetId="3" r:id="rId3"/>
    <sheet name="rodada 4" sheetId="4" r:id="rId4"/>
    <sheet name="rodada 5" sheetId="5" r:id="rId5"/>
    <sheet name="rodada 6" sheetId="6" r:id="rId6"/>
    <sheet name="rodada 7" sheetId="7" r:id="rId7"/>
    <sheet name="rodada 8" sheetId="8" r:id="rId8"/>
    <sheet name="rodada 9" sheetId="9" r:id="rId9"/>
    <sheet name="rodada 10" sheetId="10" r:id="rId10"/>
    <sheet name="resumo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D3" i="11"/>
  <c r="E3" i="11"/>
  <c r="F3" i="11"/>
  <c r="E4" i="11" s="1"/>
  <c r="G3" i="11"/>
  <c r="E5" i="11" s="1"/>
  <c r="H3" i="11"/>
  <c r="H4" i="11" s="1"/>
  <c r="I3" i="11"/>
  <c r="J3" i="11"/>
  <c r="K3" i="11"/>
  <c r="L3" i="11"/>
  <c r="M3" i="11"/>
  <c r="N3" i="11"/>
  <c r="O3" i="11"/>
  <c r="N4" i="11" s="1"/>
  <c r="P3" i="11"/>
  <c r="Q3" i="11"/>
  <c r="Q5" i="11" s="1"/>
  <c r="R3" i="11"/>
  <c r="S3" i="11"/>
  <c r="B3" i="11"/>
  <c r="B5" i="11" s="1"/>
  <c r="N5" i="11"/>
  <c r="K4" i="11"/>
  <c r="E36" i="10"/>
  <c r="N35" i="10"/>
  <c r="S34" i="10"/>
  <c r="R34" i="10"/>
  <c r="Q34" i="10"/>
  <c r="Q36" i="10" s="1"/>
  <c r="P34" i="10"/>
  <c r="O34" i="10"/>
  <c r="N34" i="10"/>
  <c r="N36" i="10" s="1"/>
  <c r="M34" i="10"/>
  <c r="L34" i="10"/>
  <c r="K34" i="10"/>
  <c r="K35" i="10" s="1"/>
  <c r="J34" i="10"/>
  <c r="I34" i="10"/>
  <c r="H34" i="10"/>
  <c r="H36" i="10" s="1"/>
  <c r="G34" i="10"/>
  <c r="F34" i="10"/>
  <c r="E34" i="10"/>
  <c r="E35" i="10" s="1"/>
  <c r="D34" i="10"/>
  <c r="C34" i="10"/>
  <c r="B34" i="10"/>
  <c r="B35" i="10" s="1"/>
  <c r="E36" i="9"/>
  <c r="N35" i="9"/>
  <c r="S34" i="9"/>
  <c r="R34" i="9"/>
  <c r="Q34" i="9"/>
  <c r="Q36" i="9" s="1"/>
  <c r="P34" i="9"/>
  <c r="O34" i="9"/>
  <c r="N34" i="9"/>
  <c r="N36" i="9" s="1"/>
  <c r="M34" i="9"/>
  <c r="L34" i="9"/>
  <c r="K34" i="9"/>
  <c r="K35" i="9" s="1"/>
  <c r="J34" i="9"/>
  <c r="I34" i="9"/>
  <c r="H34" i="9"/>
  <c r="H35" i="9" s="1"/>
  <c r="G34" i="9"/>
  <c r="F34" i="9"/>
  <c r="E34" i="9"/>
  <c r="E35" i="9" s="1"/>
  <c r="D34" i="9"/>
  <c r="C34" i="9"/>
  <c r="B34" i="9"/>
  <c r="B35" i="9" s="1"/>
  <c r="N35" i="8"/>
  <c r="S34" i="8"/>
  <c r="R34" i="8"/>
  <c r="Q34" i="8"/>
  <c r="Q36" i="8" s="1"/>
  <c r="P34" i="8"/>
  <c r="O34" i="8"/>
  <c r="N34" i="8"/>
  <c r="N36" i="8" s="1"/>
  <c r="M34" i="8"/>
  <c r="L34" i="8"/>
  <c r="K34" i="8"/>
  <c r="K35" i="8" s="1"/>
  <c r="J34" i="8"/>
  <c r="I34" i="8"/>
  <c r="H34" i="8"/>
  <c r="H35" i="8" s="1"/>
  <c r="G34" i="8"/>
  <c r="F34" i="8"/>
  <c r="E34" i="8"/>
  <c r="E35" i="8" s="1"/>
  <c r="D34" i="8"/>
  <c r="C34" i="8"/>
  <c r="B34" i="8"/>
  <c r="B35" i="8" s="1"/>
  <c r="E36" i="7"/>
  <c r="N35" i="7"/>
  <c r="S34" i="7"/>
  <c r="R34" i="7"/>
  <c r="Q34" i="7"/>
  <c r="Q36" i="7" s="1"/>
  <c r="P34" i="7"/>
  <c r="O34" i="7"/>
  <c r="N34" i="7"/>
  <c r="N36" i="7" s="1"/>
  <c r="M34" i="7"/>
  <c r="L34" i="7"/>
  <c r="K34" i="7"/>
  <c r="K35" i="7" s="1"/>
  <c r="J34" i="7"/>
  <c r="I34" i="7"/>
  <c r="H34" i="7"/>
  <c r="H35" i="7" s="1"/>
  <c r="G34" i="7"/>
  <c r="F34" i="7"/>
  <c r="E34" i="7"/>
  <c r="E35" i="7" s="1"/>
  <c r="D34" i="7"/>
  <c r="C34" i="7"/>
  <c r="B35" i="7" s="1"/>
  <c r="B34" i="7"/>
  <c r="B36" i="7" s="1"/>
  <c r="B35" i="6"/>
  <c r="B34" i="6"/>
  <c r="E36" i="6"/>
  <c r="N35" i="6"/>
  <c r="S34" i="6"/>
  <c r="R34" i="6"/>
  <c r="Q34" i="6"/>
  <c r="Q36" i="6" s="1"/>
  <c r="P34" i="6"/>
  <c r="O34" i="6"/>
  <c r="N34" i="6"/>
  <c r="N36" i="6" s="1"/>
  <c r="M34" i="6"/>
  <c r="L34" i="6"/>
  <c r="K34" i="6"/>
  <c r="K35" i="6" s="1"/>
  <c r="J34" i="6"/>
  <c r="I34" i="6"/>
  <c r="H34" i="6"/>
  <c r="H35" i="6" s="1"/>
  <c r="G34" i="6"/>
  <c r="F34" i="6"/>
  <c r="E34" i="6"/>
  <c r="E35" i="6" s="1"/>
  <c r="D34" i="6"/>
  <c r="C34" i="6"/>
  <c r="E36" i="5"/>
  <c r="N35" i="5"/>
  <c r="S34" i="5"/>
  <c r="R34" i="5"/>
  <c r="Q34" i="5"/>
  <c r="Q36" i="5" s="1"/>
  <c r="P34" i="5"/>
  <c r="O34" i="5"/>
  <c r="N34" i="5"/>
  <c r="N36" i="5" s="1"/>
  <c r="M34" i="5"/>
  <c r="L34" i="5"/>
  <c r="K34" i="5"/>
  <c r="K35" i="5" s="1"/>
  <c r="J34" i="5"/>
  <c r="I34" i="5"/>
  <c r="H34" i="5"/>
  <c r="H35" i="5" s="1"/>
  <c r="G34" i="5"/>
  <c r="F34" i="5"/>
  <c r="E34" i="5"/>
  <c r="E35" i="5" s="1"/>
  <c r="D34" i="5"/>
  <c r="C34" i="5"/>
  <c r="B34" i="5"/>
  <c r="B35" i="5" s="1"/>
  <c r="Q36" i="4"/>
  <c r="S34" i="4"/>
  <c r="R34" i="4"/>
  <c r="Q34" i="4"/>
  <c r="Q35" i="4" s="1"/>
  <c r="P34" i="4"/>
  <c r="O34" i="4"/>
  <c r="N35" i="4" s="1"/>
  <c r="N34" i="4"/>
  <c r="N36" i="4" s="1"/>
  <c r="M34" i="4"/>
  <c r="L34" i="4"/>
  <c r="K35" i="4" s="1"/>
  <c r="K34" i="4"/>
  <c r="K36" i="4" s="1"/>
  <c r="J34" i="4"/>
  <c r="I34" i="4"/>
  <c r="H34" i="4"/>
  <c r="H35" i="4" s="1"/>
  <c r="G34" i="4"/>
  <c r="E36" i="4" s="1"/>
  <c r="F34" i="4"/>
  <c r="E34" i="4"/>
  <c r="E35" i="4" s="1"/>
  <c r="D34" i="4"/>
  <c r="C34" i="4"/>
  <c r="B35" i="4" s="1"/>
  <c r="B34" i="4"/>
  <c r="B36" i="4" s="1"/>
  <c r="E36" i="3"/>
  <c r="N35" i="3"/>
  <c r="S34" i="3"/>
  <c r="R34" i="3"/>
  <c r="Q34" i="3"/>
  <c r="Q36" i="3" s="1"/>
  <c r="P34" i="3"/>
  <c r="O34" i="3"/>
  <c r="N34" i="3"/>
  <c r="N36" i="3" s="1"/>
  <c r="M34" i="3"/>
  <c r="L34" i="3"/>
  <c r="K34" i="3"/>
  <c r="K35" i="3" s="1"/>
  <c r="J34" i="3"/>
  <c r="I34" i="3"/>
  <c r="H34" i="3"/>
  <c r="H35" i="3" s="1"/>
  <c r="G34" i="3"/>
  <c r="F34" i="3"/>
  <c r="E34" i="3"/>
  <c r="E35" i="3" s="1"/>
  <c r="D34" i="3"/>
  <c r="C34" i="3"/>
  <c r="B35" i="3" s="1"/>
  <c r="B34" i="3"/>
  <c r="B36" i="3" s="1"/>
  <c r="B34" i="2"/>
  <c r="B36" i="2" s="1"/>
  <c r="N35" i="2"/>
  <c r="S34" i="2"/>
  <c r="R34" i="2"/>
  <c r="Q34" i="2"/>
  <c r="Q36" i="2" s="1"/>
  <c r="P34" i="2"/>
  <c r="O34" i="2"/>
  <c r="N34" i="2"/>
  <c r="N36" i="2" s="1"/>
  <c r="M34" i="2"/>
  <c r="L34" i="2"/>
  <c r="K34" i="2"/>
  <c r="K35" i="2" s="1"/>
  <c r="J34" i="2"/>
  <c r="I34" i="2"/>
  <c r="H34" i="2"/>
  <c r="H35" i="2" s="1"/>
  <c r="G34" i="2"/>
  <c r="F34" i="2"/>
  <c r="E34" i="2"/>
  <c r="E35" i="2" s="1"/>
  <c r="D34" i="2"/>
  <c r="C34" i="2"/>
  <c r="C34" i="1"/>
  <c r="D34" i="1"/>
  <c r="E34" i="1"/>
  <c r="F34" i="1"/>
  <c r="E35" i="1" s="1"/>
  <c r="G34" i="1"/>
  <c r="E36" i="1" s="1"/>
  <c r="H34" i="1"/>
  <c r="I34" i="1"/>
  <c r="H35" i="1" s="1"/>
  <c r="J34" i="1"/>
  <c r="H36" i="1" s="1"/>
  <c r="K34" i="1"/>
  <c r="L34" i="1"/>
  <c r="M34" i="1"/>
  <c r="N34" i="1"/>
  <c r="N36" i="1" s="1"/>
  <c r="O34" i="1"/>
  <c r="P34" i="1"/>
  <c r="Q34" i="1"/>
  <c r="R34" i="1"/>
  <c r="S34" i="1"/>
  <c r="B34" i="1"/>
  <c r="B36" i="1" s="1"/>
  <c r="Q36" i="1"/>
  <c r="K35" i="1"/>
  <c r="H5" i="11" l="1"/>
  <c r="K5" i="11"/>
  <c r="B4" i="11"/>
  <c r="Q4" i="11"/>
  <c r="Q35" i="10"/>
  <c r="B36" i="10"/>
  <c r="K36" i="10"/>
  <c r="H35" i="10"/>
  <c r="Q35" i="9"/>
  <c r="B36" i="9"/>
  <c r="H36" i="9"/>
  <c r="K36" i="9"/>
  <c r="B36" i="8"/>
  <c r="E36" i="8"/>
  <c r="H36" i="8"/>
  <c r="K36" i="8"/>
  <c r="Q35" i="8"/>
  <c r="Q35" i="7"/>
  <c r="H36" i="7"/>
  <c r="K36" i="7"/>
  <c r="Q35" i="6"/>
  <c r="B36" i="6"/>
  <c r="H36" i="6"/>
  <c r="K36" i="6"/>
  <c r="H36" i="5"/>
  <c r="K36" i="5"/>
  <c r="Q35" i="5"/>
  <c r="B36" i="5"/>
  <c r="H36" i="4"/>
  <c r="Q35" i="3"/>
  <c r="H36" i="3"/>
  <c r="K36" i="3"/>
  <c r="E36" i="2"/>
  <c r="B35" i="2"/>
  <c r="H36" i="2"/>
  <c r="Q35" i="2"/>
  <c r="K36" i="2"/>
  <c r="B35" i="1"/>
  <c r="N35" i="1"/>
  <c r="Q35" i="1"/>
  <c r="K3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CD3D9-40D7-4592-94F0-E52E817F0F59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DCB2CFDA-909A-4EEB-B70F-5FDD69235DD7}" keepAlive="1" name="Consulta - Rodada_10" description="Conexão com a consulta 'Rodada_10' na pasta de trabalho." type="5" refreshedVersion="0" background="1">
    <dbPr connection="Provider=Microsoft.Mashup.OleDb.1;Data Source=$Workbook$;Location=Rodada_10;Extended Properties=&quot;&quot;" command="SELECT * FROM [Rodada_10]"/>
  </connection>
  <connection id="3" xr16:uid="{DDE1DFEE-5910-4E5B-8DBD-C0C40D9D5BB9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4" xr16:uid="{B5044912-C374-4D56-BDCA-16F20177B7F6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5" xr16:uid="{9F4BD35C-476E-4AAB-B1AD-F56699135FE9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6" xr16:uid="{4E565FAE-ABAF-402F-849B-069E07854FEC}" keepAlive="1" name="Consulta - Rodada_4 (2)" description="Conexão com a consulta 'Rodada_4 (2)' na pasta de trabalho." type="5" refreshedVersion="0" background="1">
    <dbPr connection="Provider=Microsoft.Mashup.OleDb.1;Data Source=$Workbook$;Location=&quot;Rodada_4 (2)&quot;;Extended Properties=&quot;&quot;" command="SELECT * FROM [Rodada_4 (2)]"/>
  </connection>
  <connection id="7" xr16:uid="{35D0C1B8-EFAB-4E06-9705-035D5F51BBFB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  <connection id="8" xr16:uid="{471523EE-2C5F-4700-8677-EF28A8FABB22}" keepAlive="1" name="Consulta - Rodada_6" description="Conexão com a consulta 'Rodada_6' na pasta de trabalho." type="5" refreshedVersion="0" background="1">
    <dbPr connection="Provider=Microsoft.Mashup.OleDb.1;Data Source=$Workbook$;Location=Rodada_6;Extended Properties=&quot;&quot;" command="SELECT * FROM [Rodada_6]"/>
  </connection>
  <connection id="9" xr16:uid="{D2FE1909-BA36-4302-8273-B8F009AA1E1C}" keepAlive="1" name="Consulta - Rodada_7" description="Conexão com a consulta 'Rodada_7' na pasta de trabalho." type="5" refreshedVersion="0" background="1">
    <dbPr connection="Provider=Microsoft.Mashup.OleDb.1;Data Source=$Workbook$;Location=Rodada_7;Extended Properties=&quot;&quot;" command="SELECT * FROM [Rodada_7]"/>
  </connection>
  <connection id="10" xr16:uid="{BDBC41F1-7531-4D45-87AF-34DC3D4926D3}" keepAlive="1" name="Consulta - Rodada_8" description="Conexão com a consulta 'Rodada_8' na pasta de trabalho." type="5" refreshedVersion="0" background="1">
    <dbPr connection="Provider=Microsoft.Mashup.OleDb.1;Data Source=$Workbook$;Location=Rodada_8;Extended Properties=&quot;&quot;" command="SELECT * FROM [Rodada_8]"/>
  </connection>
  <connection id="11" xr16:uid="{BDFCD9D5-2A2F-4EF6-9B1F-1E605DBBB090}" keepAlive="1" name="Consulta - Rodada_9" description="Conexão com a consulta 'Rodada_9' na pasta de trabalho." type="5" refreshedVersion="0" background="1">
    <dbPr connection="Provider=Microsoft.Mashup.OleDb.1;Data Source=$Workbook$;Location=Rodada_9;Extended Properties=&quot;&quot;" command="SELECT * FROM [Rodada_9]"/>
  </connection>
</connections>
</file>

<file path=xl/sharedStrings.xml><?xml version="1.0" encoding="utf-8"?>
<sst xmlns="http://schemas.openxmlformats.org/spreadsheetml/2006/main" count="616" uniqueCount="323">
  <si>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</si>
  <si>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</si>
  <si>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</si>
  <si>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</si>
  <si>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</si>
  <si>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</si>
  <si>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</si>
  <si>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</si>
  <si>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</si>
  <si>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</si>
  <si>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Mid_Chaos_Rodada_1_Imagem 1</t>
  </si>
  <si>
    <t>Mid_Chaos_Rodada_1_Imagem 10</t>
  </si>
  <si>
    <t>Mid_Chaos_Rodada_1_Imagem 11</t>
  </si>
  <si>
    <t>Mid_Chaos_Rodada_1_Imagem 12</t>
  </si>
  <si>
    <t>Mid_Chaos_Rodada_1_Imagem 13</t>
  </si>
  <si>
    <t>Mid_Chaos_Rodada_1_Imagem 14</t>
  </si>
  <si>
    <t>Mid_Chaos_Rodada_1_Imagem 15</t>
  </si>
  <si>
    <t>Mid_Chaos_Rodada_1_Imagem 16</t>
  </si>
  <si>
    <t>Mid_Chaos_Rodada_1_Imagem 17</t>
  </si>
  <si>
    <t>Mid_Chaos_Rodada_1_Imagem 18</t>
  </si>
  <si>
    <t>Mid_Chaos_Rodada_1_Imagem 19</t>
  </si>
  <si>
    <t>Mid_Chaos_Rodada_1_Imagem 2</t>
  </si>
  <si>
    <t>Mid_Chaos_Rodada_1_Imagem 20</t>
  </si>
  <si>
    <t>Mid_Chaos_Rodada_1_Imagem 21</t>
  </si>
  <si>
    <t>Mid_Chaos_Rodada_1_Imagem 22</t>
  </si>
  <si>
    <t>Mid_Chaos_Rodada_1_Imagem 23</t>
  </si>
  <si>
    <t>Mid_Chaos_Rodada_1_Imagem 24</t>
  </si>
  <si>
    <t>Mid_Chaos_Rodada_1_Imagem 25</t>
  </si>
  <si>
    <t>Mid_Chaos_Rodada_1_Imagem 26</t>
  </si>
  <si>
    <t>Mid_Chaos_Rodada_1_Imagem 27</t>
  </si>
  <si>
    <t>Mid_Chaos_Rodada_1_Imagem 28</t>
  </si>
  <si>
    <t>Mid_Chaos_Rodada_1_Imagem 29</t>
  </si>
  <si>
    <t>Mid_Chaos_Rodada_1_Imagem 3</t>
  </si>
  <si>
    <t>Mid_Chaos_Rodada_1_Imagem 30</t>
  </si>
  <si>
    <t>Mid_Chaos_Rodada_1_Imagem 31</t>
  </si>
  <si>
    <t>Mid_Chaos_Rodada_1_Imagem 4</t>
  </si>
  <si>
    <t>Mid_Chaos_Rodada_1_Imagem 5</t>
  </si>
  <si>
    <t>Mid_Chaos_Rodada_1_Imagem 6</t>
  </si>
  <si>
    <t>Mid_Chaos_Rodada_1_Imagem 7</t>
  </si>
  <si>
    <t>Mid_Chaos_Rodada_1_Imagem 8</t>
  </si>
  <si>
    <t>Mid_Chaos_Rodada_1_Imagem 9</t>
  </si>
  <si>
    <t>Mid_Chaos_Rodada_2_Imagem 1</t>
  </si>
  <si>
    <t>Mid_Chaos_Rodada_2_Imagem 10</t>
  </si>
  <si>
    <t>Mid_Chaos_Rodada_2_Imagem 11</t>
  </si>
  <si>
    <t>Mid_Chaos_Rodada_2_Imagem 12</t>
  </si>
  <si>
    <t>Mid_Chaos_Rodada_2_Imagem 13</t>
  </si>
  <si>
    <t>Mid_Chaos_Rodada_2_Imagem 14</t>
  </si>
  <si>
    <t>Mid_Chaos_Rodada_2_Imagem 15</t>
  </si>
  <si>
    <t>Mid_Chaos_Rodada_2_Imagem 16</t>
  </si>
  <si>
    <t>Mid_Chaos_Rodada_2_Imagem 17</t>
  </si>
  <si>
    <t>Mid_Chaos_Rodada_2_Imagem 18</t>
  </si>
  <si>
    <t>Mid_Chaos_Rodada_2_Imagem 19</t>
  </si>
  <si>
    <t>Mid_Chaos_Rodada_2_Imagem 2</t>
  </si>
  <si>
    <t>Mid_Chaos_Rodada_2_Imagem 20</t>
  </si>
  <si>
    <t>Mid_Chaos_Rodada_2_Imagem 21</t>
  </si>
  <si>
    <t>Mid_Chaos_Rodada_2_Imagem 22</t>
  </si>
  <si>
    <t>Mid_Chaos_Rodada_2_Imagem 23</t>
  </si>
  <si>
    <t>Mid_Chaos_Rodada_2_Imagem 24</t>
  </si>
  <si>
    <t>Mid_Chaos_Rodada_2_Imagem 25</t>
  </si>
  <si>
    <t>Mid_Chaos_Rodada_2_Imagem 26</t>
  </si>
  <si>
    <t>Mid_Chaos_Rodada_2_Imagem 27</t>
  </si>
  <si>
    <t>Mid_Chaos_Rodada_2_Imagem 28</t>
  </si>
  <si>
    <t>Mid_Chaos_Rodada_2_Imagem 29</t>
  </si>
  <si>
    <t>Mid_Chaos_Rodada_2_Imagem 3</t>
  </si>
  <si>
    <t>Mid_Chaos_Rodada_2_Imagem 30</t>
  </si>
  <si>
    <t>Mid_Chaos_Rodada_2_Imagem 31</t>
  </si>
  <si>
    <t>Mid_Chaos_Rodada_2_Imagem 4</t>
  </si>
  <si>
    <t>Mid_Chaos_Rodada_2_Imagem 5</t>
  </si>
  <si>
    <t>Mid_Chaos_Rodada_2_Imagem 6</t>
  </si>
  <si>
    <t>Mid_Chaos_Rodada_2_Imagem 7</t>
  </si>
  <si>
    <t>Mid_Chaos_Rodada_2_Imagem 8</t>
  </si>
  <si>
    <t>Mid_Chaos_Rodada_2_Imagem 9</t>
  </si>
  <si>
    <t>Mid_Chaos_Rodada_3_Imagem 1</t>
  </si>
  <si>
    <t>Mid_Chaos_Rodada_3_Imagem 10</t>
  </si>
  <si>
    <t>Mid_Chaos_Rodada_3_Imagem 11</t>
  </si>
  <si>
    <t>Mid_Chaos_Rodada_3_Imagem 12</t>
  </si>
  <si>
    <t>Mid_Chaos_Rodada_3_Imagem 13</t>
  </si>
  <si>
    <t>Mid_Chaos_Rodada_3_Imagem 14</t>
  </si>
  <si>
    <t>Mid_Chaos_Rodada_3_Imagem 15</t>
  </si>
  <si>
    <t>Mid_Chaos_Rodada_3_Imagem 16</t>
  </si>
  <si>
    <t>Mid_Chaos_Rodada_3_Imagem 17</t>
  </si>
  <si>
    <t>Mid_Chaos_Rodada_3_Imagem 18</t>
  </si>
  <si>
    <t>Mid_Chaos_Rodada_3_Imagem 19</t>
  </si>
  <si>
    <t>Mid_Chaos_Rodada_3_Imagem 2</t>
  </si>
  <si>
    <t>Mid_Chaos_Rodada_3_Imagem 20</t>
  </si>
  <si>
    <t>Mid_Chaos_Rodada_3_Imagem 21</t>
  </si>
  <si>
    <t>Mid_Chaos_Rodada_3_Imagem 22</t>
  </si>
  <si>
    <t>Mid_Chaos_Rodada_3_Imagem 23</t>
  </si>
  <si>
    <t>Mid_Chaos_Rodada_3_Imagem 24</t>
  </si>
  <si>
    <t>Mid_Chaos_Rodada_3_Imagem 25</t>
  </si>
  <si>
    <t>Mid_Chaos_Rodada_3_Imagem 26</t>
  </si>
  <si>
    <t>Mid_Chaos_Rodada_3_Imagem 27</t>
  </si>
  <si>
    <t>Mid_Chaos_Rodada_3_Imagem 28</t>
  </si>
  <si>
    <t>Mid_Chaos_Rodada_3_Imagem 29</t>
  </si>
  <si>
    <t>Mid_Chaos_Rodada_3_Imagem 3</t>
  </si>
  <si>
    <t>Mid_Chaos_Rodada_3_Imagem 30</t>
  </si>
  <si>
    <t>Mid_Chaos_Rodada_3_Imagem 31</t>
  </si>
  <si>
    <t>Mid_Chaos_Rodada_3_Imagem 4</t>
  </si>
  <si>
    <t>Mid_Chaos_Rodada_3_Imagem 5</t>
  </si>
  <si>
    <t>Mid_Chaos_Rodada_3_Imagem 6</t>
  </si>
  <si>
    <t>Mid_Chaos_Rodada_3_Imagem 7</t>
  </si>
  <si>
    <t>Mid_Chaos_Rodada_3_Imagem 8</t>
  </si>
  <si>
    <t>Mid_Chaos_Rodada_3_Imagem 9</t>
  </si>
  <si>
    <t>Mid_Chaos_Rodada_4_Imagem 1</t>
  </si>
  <si>
    <t>Mid_Chaos_Rodada_4_Imagem 10</t>
  </si>
  <si>
    <t>Mid_Chaos_Rodada_4_Imagem 11</t>
  </si>
  <si>
    <t>Mid_Chaos_Rodada_4_Imagem 12</t>
  </si>
  <si>
    <t>Mid_Chaos_Rodada_4_Imagem 13</t>
  </si>
  <si>
    <t>Mid_Chaos_Rodada_4_Imagem 14</t>
  </si>
  <si>
    <t>Mid_Chaos_Rodada_4_Imagem 15</t>
  </si>
  <si>
    <t>Mid_Chaos_Rodada_4_Imagem 16</t>
  </si>
  <si>
    <t>Mid_Chaos_Rodada_4_Imagem 17</t>
  </si>
  <si>
    <t>Mid_Chaos_Rodada_4_Imagem 18</t>
  </si>
  <si>
    <t>Mid_Chaos_Rodada_4_Imagem 19</t>
  </si>
  <si>
    <t>Mid_Chaos_Rodada_4_Imagem 2</t>
  </si>
  <si>
    <t>Mid_Chaos_Rodada_4_Imagem 20</t>
  </si>
  <si>
    <t>Mid_Chaos_Rodada_4_Imagem 21</t>
  </si>
  <si>
    <t>Mid_Chaos_Rodada_4_Imagem 22</t>
  </si>
  <si>
    <t>Mid_Chaos_Rodada_4_Imagem 23</t>
  </si>
  <si>
    <t>Mid_Chaos_Rodada_4_Imagem 24</t>
  </si>
  <si>
    <t>Mid_Chaos_Rodada_4_Imagem 25</t>
  </si>
  <si>
    <t>Mid_Chaos_Rodada_4_Imagem 26</t>
  </si>
  <si>
    <t>Mid_Chaos_Rodada_4_Imagem 27</t>
  </si>
  <si>
    <t>Mid_Chaos_Rodada_4_Imagem 28</t>
  </si>
  <si>
    <t>Mid_Chaos_Rodada_4_Imagem 29</t>
  </si>
  <si>
    <t>Mid_Chaos_Rodada_4_Imagem 3</t>
  </si>
  <si>
    <t>Mid_Chaos_Rodada_4_Imagem 30</t>
  </si>
  <si>
    <t>Mid_Chaos_Rodada_4_Imagem 31</t>
  </si>
  <si>
    <t>Mid_Chaos_Rodada_4_Imagem 4</t>
  </si>
  <si>
    <t>Mid_Chaos_Rodada_4_Imagem 5</t>
  </si>
  <si>
    <t>Mid_Chaos_Rodada_4_Imagem 6</t>
  </si>
  <si>
    <t>Mid_Chaos_Rodada_4_Imagem 7</t>
  </si>
  <si>
    <t>Mid_Chaos_Rodada_4_Imagem 8</t>
  </si>
  <si>
    <t>Mid_Chaos_Rodada_4_Imagem 9</t>
  </si>
  <si>
    <t>Mid_Chaos_Rodada_5_Imagem 1</t>
  </si>
  <si>
    <t>Mid_Chaos_Rodada_5_Imagem 10</t>
  </si>
  <si>
    <t>Mid_Chaos_Rodada_5_Imagem 11</t>
  </si>
  <si>
    <t>Mid_Chaos_Rodada_5_Imagem 12</t>
  </si>
  <si>
    <t>Mid_Chaos_Rodada_5_Imagem 13</t>
  </si>
  <si>
    <t>Mid_Chaos_Rodada_5_Imagem 14</t>
  </si>
  <si>
    <t>Mid_Chaos_Rodada_5_Imagem 15</t>
  </si>
  <si>
    <t>Mid_Chaos_Rodada_5_Imagem 16</t>
  </si>
  <si>
    <t>Mid_Chaos_Rodada_5_Imagem 17</t>
  </si>
  <si>
    <t>Mid_Chaos_Rodada_5_Imagem 18</t>
  </si>
  <si>
    <t>Mid_Chaos_Rodada_5_Imagem 19</t>
  </si>
  <si>
    <t>Mid_Chaos_Rodada_5_Imagem 2</t>
  </si>
  <si>
    <t>Mid_Chaos_Rodada_5_Imagem 20</t>
  </si>
  <si>
    <t>Mid_Chaos_Rodada_5_Imagem 21</t>
  </si>
  <si>
    <t>Mid_Chaos_Rodada_5_Imagem 22</t>
  </si>
  <si>
    <t>Mid_Chaos_Rodada_5_Imagem 23</t>
  </si>
  <si>
    <t>Mid_Chaos_Rodada_5_Imagem 24</t>
  </si>
  <si>
    <t>Mid_Chaos_Rodada_5_Imagem 25</t>
  </si>
  <si>
    <t>Mid_Chaos_Rodada_5_Imagem 26</t>
  </si>
  <si>
    <t>Mid_Chaos_Rodada_5_Imagem 27</t>
  </si>
  <si>
    <t>Mid_Chaos_Rodada_5_Imagem 28</t>
  </si>
  <si>
    <t>Mid_Chaos_Rodada_5_Imagem 29</t>
  </si>
  <si>
    <t>Mid_Chaos_Rodada_5_Imagem 3</t>
  </si>
  <si>
    <t>Mid_Chaos_Rodada_5_Imagem 30</t>
  </si>
  <si>
    <t>Mid_Chaos_Rodada_5_Imagem 31</t>
  </si>
  <si>
    <t>Mid_Chaos_Rodada_5_Imagem 4</t>
  </si>
  <si>
    <t>Mid_Chaos_Rodada_5_Imagem 5</t>
  </si>
  <si>
    <t>Mid_Chaos_Rodada_5_Imagem 6</t>
  </si>
  <si>
    <t>Mid_Chaos_Rodada_5_Imagem 7</t>
  </si>
  <si>
    <t>Mid_Chaos_Rodada_5_Imagem 8</t>
  </si>
  <si>
    <t>Mid_Chaos_Rodada_5_Imagem 9</t>
  </si>
  <si>
    <t>Mid_Chaos_Rodada_6_Imagem 1</t>
  </si>
  <si>
    <t>Mid_Chaos_Rodada_6_Imagem 10</t>
  </si>
  <si>
    <t>Mid_Chaos_Rodada_6_Imagem 11</t>
  </si>
  <si>
    <t>Mid_Chaos_Rodada_6_Imagem 12</t>
  </si>
  <si>
    <t>Mid_Chaos_Rodada_6_Imagem 13</t>
  </si>
  <si>
    <t>Mid_Chaos_Rodada_6_Imagem 14</t>
  </si>
  <si>
    <t>Mid_Chaos_Rodada_6_Imagem 15</t>
  </si>
  <si>
    <t>Mid_Chaos_Rodada_6_Imagem 16</t>
  </si>
  <si>
    <t>Mid_Chaos_Rodada_6_Imagem 17</t>
  </si>
  <si>
    <t>Mid_Chaos_Rodada_6_Imagem 18</t>
  </si>
  <si>
    <t>Mid_Chaos_Rodada_6_Imagem 19</t>
  </si>
  <si>
    <t>Mid_Chaos_Rodada_6_Imagem 2</t>
  </si>
  <si>
    <t>Mid_Chaos_Rodada_6_Imagem 20</t>
  </si>
  <si>
    <t>Mid_Chaos_Rodada_6_Imagem 21</t>
  </si>
  <si>
    <t>Mid_Chaos_Rodada_6_Imagem 22</t>
  </si>
  <si>
    <t>Mid_Chaos_Rodada_6_Imagem 23</t>
  </si>
  <si>
    <t>Mid_Chaos_Rodada_6_Imagem 24</t>
  </si>
  <si>
    <t>Mid_Chaos_Rodada_6_Imagem 25</t>
  </si>
  <si>
    <t>Mid_Chaos_Rodada_6_Imagem 26</t>
  </si>
  <si>
    <t>Mid_Chaos_Rodada_6_Imagem 27</t>
  </si>
  <si>
    <t>Mid_Chaos_Rodada_6_Imagem 28</t>
  </si>
  <si>
    <t>Mid_Chaos_Rodada_6_Imagem 29</t>
  </si>
  <si>
    <t>Mid_Chaos_Rodada_6_Imagem 3</t>
  </si>
  <si>
    <t>Mid_Chaos_Rodada_6_Imagem 30</t>
  </si>
  <si>
    <t>Mid_Chaos_Rodada_6_Imagem 31</t>
  </si>
  <si>
    <t>Mid_Chaos_Rodada_6_Imagem 4</t>
  </si>
  <si>
    <t>Mid_Chaos_Rodada_6_Imagem 5</t>
  </si>
  <si>
    <t>Mid_Chaos_Rodada_6_Imagem 6</t>
  </si>
  <si>
    <t>Mid_Chaos_Rodada_6_Imagem 7</t>
  </si>
  <si>
    <t>Mid_Chaos_Rodada_6_Imagem 8</t>
  </si>
  <si>
    <t>Mid_Chaos_Rodada_6_Imagem 9</t>
  </si>
  <si>
    <t>Mid_Chaos_Rodada_7_Imagem 1</t>
  </si>
  <si>
    <t>Mid_Chaos_Rodada_7_Imagem 10</t>
  </si>
  <si>
    <t>Mid_Chaos_Rodada_7_Imagem 11</t>
  </si>
  <si>
    <t>Mid_Chaos_Rodada_7_Imagem 12</t>
  </si>
  <si>
    <t>Mid_Chaos_Rodada_7_Imagem 13</t>
  </si>
  <si>
    <t>Mid_Chaos_Rodada_7_Imagem 14</t>
  </si>
  <si>
    <t>Mid_Chaos_Rodada_7_Imagem 15</t>
  </si>
  <si>
    <t>Mid_Chaos_Rodada_7_Imagem 16</t>
  </si>
  <si>
    <t>Mid_Chaos_Rodada_7_Imagem 17</t>
  </si>
  <si>
    <t>Mid_Chaos_Rodada_7_Imagem 18</t>
  </si>
  <si>
    <t>Mid_Chaos_Rodada_7_Imagem 19</t>
  </si>
  <si>
    <t>Mid_Chaos_Rodada_7_Imagem 2</t>
  </si>
  <si>
    <t>Mid_Chaos_Rodada_7_Imagem 20</t>
  </si>
  <si>
    <t>Mid_Chaos_Rodada_7_Imagem 21</t>
  </si>
  <si>
    <t>Mid_Chaos_Rodada_7_Imagem 22</t>
  </si>
  <si>
    <t>Mid_Chaos_Rodada_7_Imagem 23</t>
  </si>
  <si>
    <t>Mid_Chaos_Rodada_7_Imagem 24</t>
  </si>
  <si>
    <t>Mid_Chaos_Rodada_7_Imagem 25</t>
  </si>
  <si>
    <t>Mid_Chaos_Rodada_7_Imagem 26</t>
  </si>
  <si>
    <t>Mid_Chaos_Rodada_7_Imagem 27</t>
  </si>
  <si>
    <t>Mid_Chaos_Rodada_7_Imagem 28</t>
  </si>
  <si>
    <t>Mid_Chaos_Rodada_7_Imagem 29</t>
  </si>
  <si>
    <t>Mid_Chaos_Rodada_7_Imagem 3</t>
  </si>
  <si>
    <t>Mid_Chaos_Rodada_7_Imagem 30</t>
  </si>
  <si>
    <t>Mid_Chaos_Rodada_7_Imagem 31</t>
  </si>
  <si>
    <t>Mid_Chaos_Rodada_7_Imagem 4</t>
  </si>
  <si>
    <t>Mid_Chaos_Rodada_7_Imagem 5</t>
  </si>
  <si>
    <t>Mid_Chaos_Rodada_7_Imagem 6</t>
  </si>
  <si>
    <t>Mid_Chaos_Rodada_7_Imagem 7</t>
  </si>
  <si>
    <t>Mid_Chaos_Rodada_7_Imagem 8</t>
  </si>
  <si>
    <t>Mid_Chaos_Rodada_7_Imagem 9</t>
  </si>
  <si>
    <t>Mid_Chaos_Rodada_8_Imagem 1</t>
  </si>
  <si>
    <t>Mid_Chaos_Rodada_8_Imagem 10</t>
  </si>
  <si>
    <t>Mid_Chaos_Rodada_8_Imagem 11</t>
  </si>
  <si>
    <t>Mid_Chaos_Rodada_8_Imagem 12</t>
  </si>
  <si>
    <t>Mid_Chaos_Rodada_8_Imagem 13</t>
  </si>
  <si>
    <t>Mid_Chaos_Rodada_8_Imagem 14</t>
  </si>
  <si>
    <t>Mid_Chaos_Rodada_8_Imagem 15</t>
  </si>
  <si>
    <t>Mid_Chaos_Rodada_8_Imagem 16</t>
  </si>
  <si>
    <t>Mid_Chaos_Rodada_8_Imagem 17</t>
  </si>
  <si>
    <t>Mid_Chaos_Rodada_8_Imagem 18</t>
  </si>
  <si>
    <t>Mid_Chaos_Rodada_8_Imagem 19</t>
  </si>
  <si>
    <t>Mid_Chaos_Rodada_8_Imagem 2</t>
  </si>
  <si>
    <t>Mid_Chaos_Rodada_8_Imagem 20</t>
  </si>
  <si>
    <t>Mid_Chaos_Rodada_8_Imagem 21</t>
  </si>
  <si>
    <t>Mid_Chaos_Rodada_8_Imagem 22</t>
  </si>
  <si>
    <t>Mid_Chaos_Rodada_8_Imagem 23</t>
  </si>
  <si>
    <t>Mid_Chaos_Rodada_8_Imagem 24</t>
  </si>
  <si>
    <t>Mid_Chaos_Rodada_8_Imagem 25</t>
  </si>
  <si>
    <t>Mid_Chaos_Rodada_8_Imagem 26</t>
  </si>
  <si>
    <t>Mid_Chaos_Rodada_8_Imagem 27</t>
  </si>
  <si>
    <t>Mid_Chaos_Rodada_8_Imagem 28</t>
  </si>
  <si>
    <t>Mid_Chaos_Rodada_8_Imagem 29</t>
  </si>
  <si>
    <t>Mid_Chaos_Rodada_8_Imagem 3</t>
  </si>
  <si>
    <t>Mid_Chaos_Rodada_8_Imagem 30</t>
  </si>
  <si>
    <t>Mid_Chaos_Rodada_8_Imagem 31</t>
  </si>
  <si>
    <t>Mid_Chaos_Rodada_8_Imagem 4</t>
  </si>
  <si>
    <t>Mid_Chaos_Rodada_8_Imagem 5</t>
  </si>
  <si>
    <t>Mid_Chaos_Rodada_8_Imagem 6</t>
  </si>
  <si>
    <t>Mid_Chaos_Rodada_8_Imagem 7</t>
  </si>
  <si>
    <t>Mid_Chaos_Rodada_8_Imagem 8</t>
  </si>
  <si>
    <t>Mid_Chaos_Rodada_8_Imagem 9</t>
  </si>
  <si>
    <t>Mid_Chaos_Rodada_9_Imagem 1</t>
  </si>
  <si>
    <t>Mid_Chaos_Rodada_9_Imagem 10</t>
  </si>
  <si>
    <t>Mid_Chaos_Rodada_9_Imagem 11</t>
  </si>
  <si>
    <t>Mid_Chaos_Rodada_9_Imagem 12</t>
  </si>
  <si>
    <t>Mid_Chaos_Rodada_9_Imagem 13</t>
  </si>
  <si>
    <t>Mid_Chaos_Rodada_9_Imagem 14</t>
  </si>
  <si>
    <t>Mid_Chaos_Rodada_9_Imagem 15</t>
  </si>
  <si>
    <t>Mid_Chaos_Rodada_9_Imagem 16</t>
  </si>
  <si>
    <t>Mid_Chaos_Rodada_9_Imagem 17</t>
  </si>
  <si>
    <t>Mid_Chaos_Rodada_9_Imagem 18</t>
  </si>
  <si>
    <t>Mid_Chaos_Rodada_9_Imagem 19</t>
  </si>
  <si>
    <t>Mid_Chaos_Rodada_9_Imagem 2</t>
  </si>
  <si>
    <t>Mid_Chaos_Rodada_9_Imagem 20</t>
  </si>
  <si>
    <t>Mid_Chaos_Rodada_9_Imagem 21</t>
  </si>
  <si>
    <t>Mid_Chaos_Rodada_9_Imagem 22</t>
  </si>
  <si>
    <t>Mid_Chaos_Rodada_9_Imagem 23</t>
  </si>
  <si>
    <t>Mid_Chaos_Rodada_9_Imagem 24</t>
  </si>
  <si>
    <t>Mid_Chaos_Rodada_9_Imagem 25</t>
  </si>
  <si>
    <t>Mid_Chaos_Rodada_9_Imagem 26</t>
  </si>
  <si>
    <t>Mid_Chaos_Rodada_9_Imagem 27</t>
  </si>
  <si>
    <t>Mid_Chaos_Rodada_9_Imagem 28</t>
  </si>
  <si>
    <t>Mid_Chaos_Rodada_9_Imagem 29</t>
  </si>
  <si>
    <t>Mid_Chaos_Rodada_9_Imagem 3</t>
  </si>
  <si>
    <t>Mid_Chaos_Rodada_9_Imagem 30</t>
  </si>
  <si>
    <t>Mid_Chaos_Rodada_9_Imagem 31</t>
  </si>
  <si>
    <t>Mid_Chaos_Rodada_9_Imagem 4</t>
  </si>
  <si>
    <t>Mid_Chaos_Rodada_9_Imagem 5</t>
  </si>
  <si>
    <t>Mid_Chaos_Rodada_9_Imagem 6</t>
  </si>
  <si>
    <t>Mid_Chaos_Rodada_9_Imagem 7</t>
  </si>
  <si>
    <t>Mid_Chaos_Rodada_9_Imagem 8</t>
  </si>
  <si>
    <t>Mid_Chaos_Rodada_9_Imagem 9</t>
  </si>
  <si>
    <t>Mid_Chaos_Rodada_10_Imagem 1</t>
  </si>
  <si>
    <t>Mid_Chaos_Rodada_10_Imagem 10</t>
  </si>
  <si>
    <t>Mid_Chaos_Rodada_10_Imagem 11</t>
  </si>
  <si>
    <t>Mid_Chaos_Rodada_10_Imagem 12</t>
  </si>
  <si>
    <t>Mid_Chaos_Rodada_10_Imagem 13</t>
  </si>
  <si>
    <t>Mid_Chaos_Rodada_10_Imagem 14</t>
  </si>
  <si>
    <t>Mid_Chaos_Rodada_10_Imagem 15</t>
  </si>
  <si>
    <t>Mid_Chaos_Rodada_10_Imagem 16</t>
  </si>
  <si>
    <t>Mid_Chaos_Rodada_10_Imagem 17</t>
  </si>
  <si>
    <t>Mid_Chaos_Rodada_10_Imagem 18</t>
  </si>
  <si>
    <t>Mid_Chaos_Rodada_10_Imagem 19</t>
  </si>
  <si>
    <t>Mid_Chaos_Rodada_10_Imagem 2</t>
  </si>
  <si>
    <t>Mid_Chaos_Rodada_10_Imagem 20</t>
  </si>
  <si>
    <t>Mid_Chaos_Rodada_10_Imagem 21</t>
  </si>
  <si>
    <t>Mid_Chaos_Rodada_10_Imagem 22</t>
  </si>
  <si>
    <t>Mid_Chaos_Rodada_10_Imagem 23</t>
  </si>
  <si>
    <t>Mid_Chaos_Rodada_10_Imagem 24</t>
  </si>
  <si>
    <t>Mid_Chaos_Rodada_10_Imagem 25</t>
  </si>
  <si>
    <t>Mid_Chaos_Rodada_10_Imagem 26</t>
  </si>
  <si>
    <t>Mid_Chaos_Rodada_10_Imagem 27</t>
  </si>
  <si>
    <t>Mid_Chaos_Rodada_10_Imagem 28</t>
  </si>
  <si>
    <t>Mid_Chaos_Rodada_10_Imagem 29</t>
  </si>
  <si>
    <t>Mid_Chaos_Rodada_10_Imagem 3</t>
  </si>
  <si>
    <t>Mid_Chaos_Rodada_10_Imagem 30</t>
  </si>
  <si>
    <t>Mid_Chaos_Rodada_10_Imagem 31</t>
  </si>
  <si>
    <t>Mid_Chaos_Rodada_10_Imagem 4</t>
  </si>
  <si>
    <t>Mid_Chaos_Rodada_10_Imagem 5</t>
  </si>
  <si>
    <t>Mid_Chaos_Rodada_10_Imagem 6</t>
  </si>
  <si>
    <t>Mid_Chaos_Rodada_10_Imagem 7</t>
  </si>
  <si>
    <t>Mid_Chaos_Rodada_10_Imagem 8</t>
  </si>
  <si>
    <t>Mid_Chaos_Rodada_10_Imagem 9</t>
  </si>
  <si>
    <t>Total:</t>
  </si>
  <si>
    <t>Precisão: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</si>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</sst>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0" fontId="0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6"/>
  <sheetViews>
    <sheetView topLeftCell="A4"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</v>
      </c>
      <c r="B3">
        <v>2</v>
      </c>
      <c r="C3">
        <v>0</v>
      </c>
      <c r="D3">
        <v>3</v>
      </c>
      <c r="E3">
        <v>2</v>
      </c>
      <c r="F3">
        <v>0</v>
      </c>
      <c r="G3">
        <v>3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11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</row>
    <row r="5" spans="1:1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</row>
    <row r="14" spans="1:19" x14ac:dyDescent="0.25">
      <c r="A14" t="s">
        <v>21</v>
      </c>
      <c r="B14">
        <v>1</v>
      </c>
      <c r="C14">
        <v>0</v>
      </c>
      <c r="D14">
        <v>3</v>
      </c>
      <c r="E14">
        <v>1</v>
      </c>
      <c r="F14">
        <v>0</v>
      </c>
      <c r="G14">
        <v>4</v>
      </c>
      <c r="H14">
        <v>1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</row>
    <row r="18" spans="1:19" x14ac:dyDescent="0.25">
      <c r="A18" t="s">
        <v>25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</row>
    <row r="19" spans="1:19" x14ac:dyDescent="0.25">
      <c r="A19" t="s">
        <v>26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</row>
    <row r="20" spans="1:19" x14ac:dyDescent="0.25">
      <c r="A20" t="s">
        <v>27</v>
      </c>
      <c r="B20">
        <v>0</v>
      </c>
      <c r="C20">
        <v>0</v>
      </c>
      <c r="D20">
        <v>0</v>
      </c>
      <c r="E20">
        <v>1</v>
      </c>
      <c r="F20">
        <v>0</v>
      </c>
      <c r="G20">
        <v>3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</row>
    <row r="21" spans="1:19" x14ac:dyDescent="0.25">
      <c r="A21" t="s">
        <v>28</v>
      </c>
      <c r="B21">
        <v>0</v>
      </c>
      <c r="C21">
        <v>0</v>
      </c>
      <c r="D21">
        <v>0</v>
      </c>
      <c r="E21">
        <v>3</v>
      </c>
      <c r="F21">
        <v>0</v>
      </c>
      <c r="G21">
        <v>2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29</v>
      </c>
      <c r="B22">
        <v>1</v>
      </c>
      <c r="C22">
        <v>0</v>
      </c>
      <c r="D22">
        <v>0</v>
      </c>
      <c r="E22">
        <v>3</v>
      </c>
      <c r="F22">
        <v>0</v>
      </c>
      <c r="G22">
        <v>2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30</v>
      </c>
      <c r="B23">
        <v>1</v>
      </c>
      <c r="C23">
        <v>0</v>
      </c>
      <c r="D23">
        <v>1</v>
      </c>
      <c r="E23">
        <v>3</v>
      </c>
      <c r="F23">
        <v>0</v>
      </c>
      <c r="G23">
        <v>2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31</v>
      </c>
      <c r="B24">
        <v>1</v>
      </c>
      <c r="C24">
        <v>0</v>
      </c>
      <c r="D24">
        <v>2</v>
      </c>
      <c r="E24">
        <v>2</v>
      </c>
      <c r="F24">
        <v>0</v>
      </c>
      <c r="G24">
        <v>3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32</v>
      </c>
      <c r="B25">
        <v>0</v>
      </c>
      <c r="C25">
        <v>0</v>
      </c>
      <c r="D25">
        <v>3</v>
      </c>
      <c r="E25">
        <v>1</v>
      </c>
      <c r="F25">
        <v>0</v>
      </c>
      <c r="G25">
        <v>4</v>
      </c>
      <c r="H25">
        <v>1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33</v>
      </c>
      <c r="B26">
        <v>1</v>
      </c>
      <c r="C26">
        <v>0</v>
      </c>
      <c r="D26">
        <v>3</v>
      </c>
      <c r="E26">
        <v>3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34</v>
      </c>
      <c r="B27">
        <v>1</v>
      </c>
      <c r="C27">
        <v>0</v>
      </c>
      <c r="D27">
        <v>4</v>
      </c>
      <c r="E27">
        <v>3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35</v>
      </c>
      <c r="B28">
        <v>0</v>
      </c>
      <c r="C28">
        <v>0</v>
      </c>
      <c r="D28">
        <v>2</v>
      </c>
      <c r="E28">
        <v>2</v>
      </c>
      <c r="F28">
        <v>0</v>
      </c>
      <c r="G28">
        <v>3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36</v>
      </c>
      <c r="B29">
        <v>0</v>
      </c>
      <c r="C29">
        <v>0</v>
      </c>
      <c r="D29">
        <v>1</v>
      </c>
      <c r="E29">
        <v>1</v>
      </c>
      <c r="F29">
        <v>0</v>
      </c>
      <c r="G29">
        <v>4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37</v>
      </c>
      <c r="B30">
        <v>0</v>
      </c>
      <c r="C30">
        <v>0</v>
      </c>
      <c r="D30">
        <v>0</v>
      </c>
      <c r="E30">
        <v>1</v>
      </c>
      <c r="F30">
        <v>0</v>
      </c>
      <c r="G30">
        <v>4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38</v>
      </c>
      <c r="B31">
        <v>0</v>
      </c>
      <c r="C31">
        <v>0</v>
      </c>
      <c r="D31">
        <v>0</v>
      </c>
      <c r="E31">
        <v>1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39</v>
      </c>
      <c r="B32">
        <v>0</v>
      </c>
      <c r="C32">
        <v>0</v>
      </c>
      <c r="D32">
        <v>0</v>
      </c>
      <c r="E32">
        <v>1</v>
      </c>
      <c r="F32">
        <v>0</v>
      </c>
      <c r="G32">
        <v>2</v>
      </c>
      <c r="H32">
        <v>1</v>
      </c>
      <c r="I32">
        <v>0</v>
      </c>
      <c r="J32">
        <v>0</v>
      </c>
      <c r="K32">
        <v>2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40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8</v>
      </c>
      <c r="C34" s="1">
        <f t="shared" ref="C34:S34" si="0">SUM(C3:C33)</f>
        <v>0</v>
      </c>
      <c r="D34" s="1">
        <f t="shared" si="0"/>
        <v>22</v>
      </c>
      <c r="E34" s="1">
        <f t="shared" si="0"/>
        <v>34</v>
      </c>
      <c r="F34" s="1">
        <f t="shared" si="0"/>
        <v>0</v>
      </c>
      <c r="G34" s="1">
        <f t="shared" si="0"/>
        <v>46</v>
      </c>
      <c r="H34" s="1">
        <f t="shared" si="0"/>
        <v>22</v>
      </c>
      <c r="I34" s="1">
        <f t="shared" si="0"/>
        <v>0</v>
      </c>
      <c r="J34" s="1">
        <f t="shared" si="0"/>
        <v>0</v>
      </c>
      <c r="K34" s="1">
        <f t="shared" si="0"/>
        <v>50</v>
      </c>
      <c r="L34" s="1">
        <f t="shared" si="0"/>
        <v>9</v>
      </c>
      <c r="M34" s="1">
        <f t="shared" si="0"/>
        <v>0</v>
      </c>
      <c r="N34" s="1">
        <f t="shared" si="0"/>
        <v>8</v>
      </c>
      <c r="O34" s="1">
        <f t="shared" si="0"/>
        <v>0</v>
      </c>
      <c r="P34" s="1">
        <f t="shared" si="0"/>
        <v>20</v>
      </c>
      <c r="Q34" s="1">
        <f t="shared" si="0"/>
        <v>3</v>
      </c>
      <c r="R34" s="1">
        <f t="shared" si="0"/>
        <v>0</v>
      </c>
      <c r="S34" s="1">
        <f t="shared" si="0"/>
        <v>27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0.84745762711864403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0.26666666666666666</v>
      </c>
      <c r="C36" s="3"/>
      <c r="D36" s="3"/>
      <c r="E36" s="3">
        <f t="shared" ref="E36" si="6" xml:space="preserve"> E34 / (E34 + G34)</f>
        <v>0.42499999999999999</v>
      </c>
      <c r="F36" s="3"/>
      <c r="G36" s="3"/>
      <c r="H36" s="3">
        <f t="shared" ref="H36" si="7" xml:space="preserve"> H34 / (H34 + J34)</f>
        <v>1</v>
      </c>
      <c r="I36" s="3"/>
      <c r="J36" s="3"/>
      <c r="K36" s="3">
        <f t="shared" ref="K36" si="8" xml:space="preserve"> K34 / (K34 + M34)</f>
        <v>1</v>
      </c>
      <c r="L36" s="3"/>
      <c r="M36" s="3"/>
      <c r="N36" s="3">
        <f t="shared" ref="N36" si="9" xml:space="preserve"> N34 / (N34 + P34)</f>
        <v>0.2857142857142857</v>
      </c>
      <c r="O36" s="3"/>
      <c r="P36" s="3"/>
      <c r="Q36" s="3">
        <f t="shared" ref="Q36" si="10" xml:space="preserve"> Q34 / (Q34 + S34)</f>
        <v>0.1</v>
      </c>
      <c r="R36" s="3"/>
      <c r="S36" s="3"/>
    </row>
  </sheetData>
  <mergeCells count="18">
    <mergeCell ref="Q1:S1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36:S36"/>
    <mergeCell ref="B36:D36"/>
    <mergeCell ref="E36:G36"/>
    <mergeCell ref="H36:J36"/>
    <mergeCell ref="K36:M36"/>
    <mergeCell ref="N36:P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0A3B-5891-48DA-908E-2B9507918D54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</v>
      </c>
      <c r="B3">
        <v>0</v>
      </c>
      <c r="C3">
        <v>0</v>
      </c>
      <c r="D3">
        <v>5</v>
      </c>
      <c r="E3">
        <v>1</v>
      </c>
      <c r="F3">
        <v>0</v>
      </c>
      <c r="G3">
        <v>4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52</v>
      </c>
      <c r="B14">
        <v>0</v>
      </c>
      <c r="C14">
        <v>0</v>
      </c>
      <c r="D14">
        <v>4</v>
      </c>
      <c r="E14">
        <v>0</v>
      </c>
      <c r="F14">
        <v>0</v>
      </c>
      <c r="G14">
        <v>5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55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56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57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58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59</v>
      </c>
      <c r="B21">
        <v>3</v>
      </c>
      <c r="C21">
        <v>0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60</v>
      </c>
      <c r="B22">
        <v>2</v>
      </c>
      <c r="C22">
        <v>0</v>
      </c>
      <c r="D22">
        <v>3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61</v>
      </c>
      <c r="B23">
        <v>2</v>
      </c>
      <c r="C23">
        <v>0</v>
      </c>
      <c r="D23">
        <v>3</v>
      </c>
      <c r="E23">
        <v>0</v>
      </c>
      <c r="F23">
        <v>0</v>
      </c>
      <c r="G23">
        <v>2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62</v>
      </c>
      <c r="B24">
        <v>2</v>
      </c>
      <c r="C24">
        <v>0</v>
      </c>
      <c r="D24">
        <v>3</v>
      </c>
      <c r="E24">
        <v>0</v>
      </c>
      <c r="F24">
        <v>0</v>
      </c>
      <c r="G24">
        <v>3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63</v>
      </c>
      <c r="B25">
        <v>0</v>
      </c>
      <c r="C25">
        <v>0</v>
      </c>
      <c r="D25">
        <v>3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64</v>
      </c>
      <c r="B26">
        <v>3</v>
      </c>
      <c r="C26">
        <v>0</v>
      </c>
      <c r="D26">
        <v>2</v>
      </c>
      <c r="E26">
        <v>0</v>
      </c>
      <c r="F26">
        <v>0</v>
      </c>
      <c r="G26">
        <v>4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65</v>
      </c>
      <c r="B27">
        <v>3</v>
      </c>
      <c r="C27">
        <v>0</v>
      </c>
      <c r="D27">
        <v>2</v>
      </c>
      <c r="E27">
        <v>0</v>
      </c>
      <c r="F27">
        <v>0</v>
      </c>
      <c r="G27">
        <v>5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66</v>
      </c>
      <c r="B28">
        <v>0</v>
      </c>
      <c r="C28">
        <v>0</v>
      </c>
      <c r="D28">
        <v>2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67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68</v>
      </c>
      <c r="B30">
        <v>0</v>
      </c>
      <c r="C30">
        <v>0</v>
      </c>
      <c r="D30">
        <v>0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69</v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70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24</v>
      </c>
      <c r="C34" s="1">
        <f t="shared" ref="C34:S34" si="0">SUM(C3:C33)</f>
        <v>0</v>
      </c>
      <c r="D34" s="1">
        <f t="shared" si="0"/>
        <v>31</v>
      </c>
      <c r="E34" s="1">
        <f t="shared" si="0"/>
        <v>1</v>
      </c>
      <c r="F34" s="1">
        <f t="shared" si="0"/>
        <v>0</v>
      </c>
      <c r="G34" s="1">
        <f t="shared" si="0"/>
        <v>54</v>
      </c>
      <c r="H34" s="1">
        <f t="shared" si="0"/>
        <v>22</v>
      </c>
      <c r="I34" s="1">
        <f t="shared" si="0"/>
        <v>0</v>
      </c>
      <c r="J34" s="1">
        <f t="shared" si="0"/>
        <v>0</v>
      </c>
      <c r="K34" s="1">
        <f t="shared" si="0"/>
        <v>43</v>
      </c>
      <c r="L34" s="1">
        <f t="shared" si="0"/>
        <v>0</v>
      </c>
      <c r="M34" s="1">
        <f t="shared" si="0"/>
        <v>7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14</v>
      </c>
      <c r="R34" s="1">
        <f t="shared" si="0"/>
        <v>0</v>
      </c>
      <c r="S34" s="1">
        <f t="shared" si="0"/>
        <v>16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1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0.43636363636363634</v>
      </c>
      <c r="C36" s="3"/>
      <c r="D36" s="3"/>
      <c r="E36" s="3">
        <f t="shared" ref="E36" si="6" xml:space="preserve"> E34 / (E34 + G34)</f>
        <v>1.8181818181818181E-2</v>
      </c>
      <c r="F36" s="3"/>
      <c r="G36" s="3"/>
      <c r="H36" s="3">
        <f t="shared" ref="H36" si="7" xml:space="preserve"> H34 / (H34 + J34)</f>
        <v>1</v>
      </c>
      <c r="I36" s="3"/>
      <c r="J36" s="3"/>
      <c r="K36" s="3">
        <f t="shared" ref="K36" si="8" xml:space="preserve"> K34 / (K34 + M34)</f>
        <v>0.86</v>
      </c>
      <c r="L36" s="3"/>
      <c r="M36" s="3"/>
      <c r="N36" s="3">
        <f t="shared" ref="N36" si="9" xml:space="preserve"> N34 / (N34 + P34)</f>
        <v>1</v>
      </c>
      <c r="O36" s="3"/>
      <c r="P36" s="3"/>
      <c r="Q36" s="3">
        <f t="shared" ref="Q36" si="10" xml:space="preserve"> Q34 / (Q34 + S34)</f>
        <v>0.46666666666666667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C4C2-5FFE-4EAE-AD2F-E75EE16AEA0A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72</v>
      </c>
      <c r="B3">
        <v>2</v>
      </c>
      <c r="C3">
        <v>0</v>
      </c>
      <c r="D3">
        <v>3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83</v>
      </c>
      <c r="B14">
        <v>2</v>
      </c>
      <c r="C14">
        <v>0</v>
      </c>
      <c r="D14">
        <v>2</v>
      </c>
      <c r="E14">
        <v>0</v>
      </c>
      <c r="F14">
        <v>0</v>
      </c>
      <c r="G14">
        <v>5</v>
      </c>
      <c r="H14">
        <v>1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86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88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89</v>
      </c>
      <c r="B20">
        <v>0</v>
      </c>
      <c r="C20">
        <v>0</v>
      </c>
      <c r="D20">
        <v>0</v>
      </c>
      <c r="E20">
        <v>1</v>
      </c>
      <c r="F20">
        <v>0</v>
      </c>
      <c r="G20">
        <v>3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90</v>
      </c>
      <c r="B21">
        <v>0</v>
      </c>
      <c r="C21">
        <v>0</v>
      </c>
      <c r="D21">
        <v>1</v>
      </c>
      <c r="E21">
        <v>0</v>
      </c>
      <c r="F21">
        <v>0</v>
      </c>
      <c r="G21">
        <v>4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91</v>
      </c>
      <c r="B22">
        <v>0</v>
      </c>
      <c r="C22">
        <v>0</v>
      </c>
      <c r="D22">
        <v>2</v>
      </c>
      <c r="E22">
        <v>0</v>
      </c>
      <c r="F22">
        <v>0</v>
      </c>
      <c r="G22">
        <v>4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92</v>
      </c>
      <c r="B23">
        <v>0</v>
      </c>
      <c r="C23">
        <v>0</v>
      </c>
      <c r="D23">
        <v>3</v>
      </c>
      <c r="E23">
        <v>0</v>
      </c>
      <c r="F23">
        <v>0</v>
      </c>
      <c r="G23">
        <v>4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93</v>
      </c>
      <c r="B24">
        <v>2</v>
      </c>
      <c r="C24">
        <v>0</v>
      </c>
      <c r="D24">
        <v>2</v>
      </c>
      <c r="E24">
        <v>0</v>
      </c>
      <c r="F24">
        <v>0</v>
      </c>
      <c r="G24">
        <v>4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94</v>
      </c>
      <c r="B25">
        <v>2</v>
      </c>
      <c r="C25">
        <v>0</v>
      </c>
      <c r="D25">
        <v>1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95</v>
      </c>
      <c r="B26">
        <v>1</v>
      </c>
      <c r="C26">
        <v>0</v>
      </c>
      <c r="D26">
        <v>3</v>
      </c>
      <c r="E26">
        <v>0</v>
      </c>
      <c r="F26">
        <v>0</v>
      </c>
      <c r="G26">
        <v>5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96</v>
      </c>
      <c r="B27">
        <v>2</v>
      </c>
      <c r="C27">
        <v>0</v>
      </c>
      <c r="D27">
        <v>3</v>
      </c>
      <c r="E27">
        <v>0</v>
      </c>
      <c r="F27">
        <v>0</v>
      </c>
      <c r="G27">
        <v>5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97</v>
      </c>
      <c r="B28">
        <v>2</v>
      </c>
      <c r="C28">
        <v>0</v>
      </c>
      <c r="D28">
        <v>0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98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100</v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101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102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14</v>
      </c>
      <c r="C34" s="1">
        <f t="shared" ref="C34:S34" si="0">SUM(C3:C33)</f>
        <v>0</v>
      </c>
      <c r="D34" s="1">
        <f t="shared" si="0"/>
        <v>20</v>
      </c>
      <c r="E34" s="1">
        <f t="shared" si="0"/>
        <v>4</v>
      </c>
      <c r="F34" s="1">
        <f t="shared" si="0"/>
        <v>0</v>
      </c>
      <c r="G34" s="1">
        <f t="shared" si="0"/>
        <v>72</v>
      </c>
      <c r="H34" s="1">
        <f t="shared" si="0"/>
        <v>16</v>
      </c>
      <c r="I34" s="1">
        <f t="shared" si="0"/>
        <v>0</v>
      </c>
      <c r="J34" s="1">
        <f t="shared" si="0"/>
        <v>10</v>
      </c>
      <c r="K34" s="1">
        <f t="shared" si="0"/>
        <v>49</v>
      </c>
      <c r="L34" s="1">
        <f t="shared" si="0"/>
        <v>0</v>
      </c>
      <c r="M34" s="1">
        <f t="shared" si="0"/>
        <v>3</v>
      </c>
      <c r="N34" s="1">
        <f t="shared" si="0"/>
        <v>26</v>
      </c>
      <c r="O34" s="1">
        <f t="shared" si="0"/>
        <v>0</v>
      </c>
      <c r="P34" s="1">
        <f t="shared" si="0"/>
        <v>0</v>
      </c>
      <c r="Q34" s="1">
        <f t="shared" si="0"/>
        <v>2</v>
      </c>
      <c r="R34" s="1">
        <f t="shared" si="0"/>
        <v>0</v>
      </c>
      <c r="S34" s="1">
        <f t="shared" si="0"/>
        <v>24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1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0.41176470588235292</v>
      </c>
      <c r="C36" s="3"/>
      <c r="D36" s="3"/>
      <c r="E36" s="3">
        <f t="shared" ref="E36" si="6" xml:space="preserve"> E34 / (E34 + G34)</f>
        <v>5.2631578947368418E-2</v>
      </c>
      <c r="F36" s="3"/>
      <c r="G36" s="3"/>
      <c r="H36" s="3">
        <f t="shared" ref="H36" si="7" xml:space="preserve"> H34 / (H34 + J34)</f>
        <v>0.61538461538461542</v>
      </c>
      <c r="I36" s="3"/>
      <c r="J36" s="3"/>
      <c r="K36" s="3">
        <f t="shared" ref="K36" si="8" xml:space="preserve"> K34 / (K34 + M34)</f>
        <v>0.94230769230769229</v>
      </c>
      <c r="L36" s="3"/>
      <c r="M36" s="3"/>
      <c r="N36" s="3">
        <f t="shared" ref="N36" si="9" xml:space="preserve"> N34 / (N34 + P34)</f>
        <v>1</v>
      </c>
      <c r="O36" s="3"/>
      <c r="P36" s="3"/>
      <c r="Q36" s="3">
        <f t="shared" ref="Q36" si="10" xml:space="preserve"> Q34 / (Q34 + S34)</f>
        <v>7.6923076923076927E-2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1082-BE55-489E-8C14-1CC02303555C}">
  <dimension ref="A1:S36"/>
  <sheetViews>
    <sheetView workbookViewId="0">
      <selection activeCell="B34" sqref="B34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103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104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114</v>
      </c>
      <c r="B14">
        <v>1</v>
      </c>
      <c r="C14">
        <v>0</v>
      </c>
      <c r="D14">
        <v>3</v>
      </c>
      <c r="E14">
        <v>2</v>
      </c>
      <c r="F14">
        <v>0</v>
      </c>
      <c r="G14">
        <v>4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117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118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119</v>
      </c>
      <c r="B19">
        <v>0</v>
      </c>
      <c r="C19">
        <v>0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120</v>
      </c>
      <c r="B20">
        <v>0</v>
      </c>
      <c r="C20">
        <v>0</v>
      </c>
      <c r="D20">
        <v>0</v>
      </c>
      <c r="E20">
        <v>2</v>
      </c>
      <c r="F20">
        <v>0</v>
      </c>
      <c r="G20">
        <v>2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121</v>
      </c>
      <c r="B21">
        <v>0</v>
      </c>
      <c r="C21">
        <v>0</v>
      </c>
      <c r="D21">
        <v>0</v>
      </c>
      <c r="E21">
        <v>3</v>
      </c>
      <c r="F21">
        <v>0</v>
      </c>
      <c r="G21">
        <v>2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122</v>
      </c>
      <c r="B22">
        <v>0</v>
      </c>
      <c r="C22">
        <v>0</v>
      </c>
      <c r="D22">
        <v>1</v>
      </c>
      <c r="E22">
        <v>2</v>
      </c>
      <c r="F22">
        <v>0</v>
      </c>
      <c r="G22">
        <v>3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123</v>
      </c>
      <c r="B23">
        <v>0</v>
      </c>
      <c r="C23">
        <v>0</v>
      </c>
      <c r="D23">
        <v>2</v>
      </c>
      <c r="E23">
        <v>2</v>
      </c>
      <c r="F23">
        <v>0</v>
      </c>
      <c r="G23">
        <v>3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124</v>
      </c>
      <c r="B24">
        <v>0</v>
      </c>
      <c r="C24">
        <v>0</v>
      </c>
      <c r="D24">
        <v>3</v>
      </c>
      <c r="E24">
        <v>1</v>
      </c>
      <c r="F24">
        <v>0</v>
      </c>
      <c r="G24">
        <v>4</v>
      </c>
      <c r="H24">
        <v>0</v>
      </c>
      <c r="I24">
        <v>0</v>
      </c>
      <c r="J24">
        <v>1</v>
      </c>
      <c r="K24">
        <v>2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125</v>
      </c>
      <c r="B25">
        <v>0</v>
      </c>
      <c r="C25">
        <v>0</v>
      </c>
      <c r="D25">
        <v>3</v>
      </c>
      <c r="E25">
        <v>2</v>
      </c>
      <c r="F25">
        <v>0</v>
      </c>
      <c r="G25">
        <v>3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2</v>
      </c>
    </row>
    <row r="26" spans="1:19" x14ac:dyDescent="0.25">
      <c r="A26" t="s">
        <v>126</v>
      </c>
      <c r="B26">
        <v>1</v>
      </c>
      <c r="C26">
        <v>0</v>
      </c>
      <c r="D26">
        <v>3</v>
      </c>
      <c r="E26">
        <v>1</v>
      </c>
      <c r="F26">
        <v>0</v>
      </c>
      <c r="G26">
        <v>4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127</v>
      </c>
      <c r="B27">
        <v>2</v>
      </c>
      <c r="C27">
        <v>0</v>
      </c>
      <c r="D27">
        <v>3</v>
      </c>
      <c r="E27">
        <v>0</v>
      </c>
      <c r="F27">
        <v>0</v>
      </c>
      <c r="G27">
        <v>5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128</v>
      </c>
      <c r="B28">
        <v>0</v>
      </c>
      <c r="C28">
        <v>0</v>
      </c>
      <c r="D28">
        <v>2</v>
      </c>
      <c r="E28">
        <v>2</v>
      </c>
      <c r="F28">
        <v>0</v>
      </c>
      <c r="G28">
        <v>3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129</v>
      </c>
      <c r="B29">
        <v>0</v>
      </c>
      <c r="C29">
        <v>0</v>
      </c>
      <c r="D29">
        <v>1</v>
      </c>
      <c r="E29">
        <v>2</v>
      </c>
      <c r="F29">
        <v>0</v>
      </c>
      <c r="G29">
        <v>3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130</v>
      </c>
      <c r="B30">
        <v>0</v>
      </c>
      <c r="C30">
        <v>0</v>
      </c>
      <c r="D30">
        <v>0</v>
      </c>
      <c r="E30">
        <v>2</v>
      </c>
      <c r="F30">
        <v>0</v>
      </c>
      <c r="G30">
        <v>3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131</v>
      </c>
      <c r="B31">
        <v>0</v>
      </c>
      <c r="C31">
        <v>0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132</v>
      </c>
      <c r="B32">
        <v>0</v>
      </c>
      <c r="C32">
        <v>0</v>
      </c>
      <c r="D32">
        <v>0</v>
      </c>
      <c r="E32">
        <v>1</v>
      </c>
      <c r="F32">
        <v>0</v>
      </c>
      <c r="G32">
        <v>2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133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5</v>
      </c>
      <c r="C34" s="1">
        <f t="shared" ref="C34:S34" si="0">SUM(C3:C33)</f>
        <v>0</v>
      </c>
      <c r="D34" s="1">
        <f t="shared" si="0"/>
        <v>25</v>
      </c>
      <c r="E34" s="1">
        <f t="shared" si="0"/>
        <v>32</v>
      </c>
      <c r="F34" s="1">
        <f t="shared" si="0"/>
        <v>0</v>
      </c>
      <c r="G34" s="1">
        <f t="shared" si="0"/>
        <v>49</v>
      </c>
      <c r="H34" s="1">
        <f t="shared" si="0"/>
        <v>2</v>
      </c>
      <c r="I34" s="1">
        <f t="shared" si="0"/>
        <v>0</v>
      </c>
      <c r="J34" s="1">
        <f t="shared" si="0"/>
        <v>24</v>
      </c>
      <c r="K34" s="1">
        <f t="shared" si="0"/>
        <v>49</v>
      </c>
      <c r="L34" s="1">
        <f t="shared" si="0"/>
        <v>3</v>
      </c>
      <c r="M34" s="1">
        <f t="shared" si="0"/>
        <v>1</v>
      </c>
      <c r="N34" s="1">
        <f t="shared" si="0"/>
        <v>25</v>
      </c>
      <c r="O34" s="1">
        <f t="shared" si="0"/>
        <v>0</v>
      </c>
      <c r="P34" s="1">
        <f t="shared" si="0"/>
        <v>1</v>
      </c>
      <c r="Q34" s="1">
        <f t="shared" si="0"/>
        <v>9</v>
      </c>
      <c r="R34" s="1">
        <f t="shared" si="0"/>
        <v>0</v>
      </c>
      <c r="S34" s="1">
        <f t="shared" si="0"/>
        <v>18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0.94230769230769229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0.16666666666666666</v>
      </c>
      <c r="C36" s="3"/>
      <c r="D36" s="3"/>
      <c r="E36" s="3">
        <f t="shared" ref="E36" si="6" xml:space="preserve"> E34 / (E34 + G34)</f>
        <v>0.39506172839506171</v>
      </c>
      <c r="F36" s="3"/>
      <c r="G36" s="3"/>
      <c r="H36" s="3">
        <f t="shared" ref="H36" si="7" xml:space="preserve"> H34 / (H34 + J34)</f>
        <v>7.6923076923076927E-2</v>
      </c>
      <c r="I36" s="3"/>
      <c r="J36" s="3"/>
      <c r="K36" s="3">
        <f t="shared" ref="K36" si="8" xml:space="preserve"> K34 / (K34 + M34)</f>
        <v>0.98</v>
      </c>
      <c r="L36" s="3"/>
      <c r="M36" s="3"/>
      <c r="N36" s="3">
        <f t="shared" ref="N36" si="9" xml:space="preserve"> N34 / (N34 + P34)</f>
        <v>0.96153846153846156</v>
      </c>
      <c r="O36" s="3"/>
      <c r="P36" s="3"/>
      <c r="Q36" s="3">
        <f t="shared" ref="Q36" si="10" xml:space="preserve"> Q34 / (Q34 + S34)</f>
        <v>0.33333333333333331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A597-C2CB-4E60-AA76-1294EBD25875}">
  <dimension ref="A1:S36"/>
  <sheetViews>
    <sheetView workbookViewId="0">
      <selection activeCell="B34" sqref="B34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134</v>
      </c>
      <c r="B3">
        <v>1</v>
      </c>
      <c r="C3">
        <v>0</v>
      </c>
      <c r="D3">
        <v>4</v>
      </c>
      <c r="E3">
        <v>1</v>
      </c>
      <c r="F3">
        <v>0</v>
      </c>
      <c r="G3">
        <v>4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135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136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138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145</v>
      </c>
      <c r="B14">
        <v>1</v>
      </c>
      <c r="C14">
        <v>0</v>
      </c>
      <c r="D14">
        <v>3</v>
      </c>
      <c r="E14">
        <v>3</v>
      </c>
      <c r="F14">
        <v>0</v>
      </c>
      <c r="G14">
        <v>2</v>
      </c>
      <c r="H14">
        <v>0</v>
      </c>
      <c r="I14">
        <v>0</v>
      </c>
      <c r="J14">
        <v>1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147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148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</row>
    <row r="18" spans="1:19" x14ac:dyDescent="0.25">
      <c r="A18" t="s">
        <v>149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25">
      <c r="A19" t="s">
        <v>150</v>
      </c>
      <c r="B19">
        <v>0</v>
      </c>
      <c r="C19">
        <v>0</v>
      </c>
      <c r="D19">
        <v>0</v>
      </c>
      <c r="E19">
        <v>1</v>
      </c>
      <c r="F19">
        <v>0</v>
      </c>
      <c r="G19">
        <v>2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151</v>
      </c>
      <c r="B20">
        <v>0</v>
      </c>
      <c r="C20">
        <v>0</v>
      </c>
      <c r="D20">
        <v>0</v>
      </c>
      <c r="E20">
        <v>1</v>
      </c>
      <c r="F20">
        <v>0</v>
      </c>
      <c r="G20">
        <v>3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152</v>
      </c>
      <c r="B21">
        <v>0</v>
      </c>
      <c r="C21">
        <v>0</v>
      </c>
      <c r="D21">
        <v>0</v>
      </c>
      <c r="E21">
        <v>1</v>
      </c>
      <c r="F21">
        <v>0</v>
      </c>
      <c r="G21">
        <v>4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153</v>
      </c>
      <c r="B22">
        <v>0</v>
      </c>
      <c r="C22">
        <v>0</v>
      </c>
      <c r="D22">
        <v>1</v>
      </c>
      <c r="E22">
        <v>2</v>
      </c>
      <c r="F22">
        <v>0</v>
      </c>
      <c r="G22">
        <v>3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154</v>
      </c>
      <c r="B23">
        <v>0</v>
      </c>
      <c r="C23">
        <v>0</v>
      </c>
      <c r="D23">
        <v>2</v>
      </c>
      <c r="E23">
        <v>2</v>
      </c>
      <c r="F23">
        <v>0</v>
      </c>
      <c r="G23">
        <v>3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155</v>
      </c>
      <c r="B24">
        <v>0</v>
      </c>
      <c r="C24">
        <v>0</v>
      </c>
      <c r="D24">
        <v>3</v>
      </c>
      <c r="E24">
        <v>2</v>
      </c>
      <c r="F24">
        <v>0</v>
      </c>
      <c r="G24">
        <v>3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156</v>
      </c>
      <c r="B25">
        <v>0</v>
      </c>
      <c r="C25">
        <v>0</v>
      </c>
      <c r="D25">
        <v>3</v>
      </c>
      <c r="E25">
        <v>3</v>
      </c>
      <c r="F25">
        <v>0</v>
      </c>
      <c r="G25">
        <v>2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157</v>
      </c>
      <c r="B26">
        <v>0</v>
      </c>
      <c r="C26">
        <v>0</v>
      </c>
      <c r="D26">
        <v>4</v>
      </c>
      <c r="E26">
        <v>3</v>
      </c>
      <c r="F26">
        <v>0</v>
      </c>
      <c r="G26">
        <v>2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158</v>
      </c>
      <c r="B27">
        <v>0</v>
      </c>
      <c r="C27">
        <v>0</v>
      </c>
      <c r="D27">
        <v>5</v>
      </c>
      <c r="E27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159</v>
      </c>
      <c r="B28">
        <v>1</v>
      </c>
      <c r="C28">
        <v>0</v>
      </c>
      <c r="D28">
        <v>1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160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161</v>
      </c>
      <c r="B30">
        <v>0</v>
      </c>
      <c r="C30">
        <v>0</v>
      </c>
      <c r="D30">
        <v>0</v>
      </c>
      <c r="E30">
        <v>3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162</v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163</v>
      </c>
      <c r="B32">
        <v>0</v>
      </c>
      <c r="C32">
        <v>0</v>
      </c>
      <c r="D32">
        <v>0</v>
      </c>
      <c r="E32">
        <v>0</v>
      </c>
      <c r="F32">
        <v>0</v>
      </c>
      <c r="G32">
        <v>3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164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4</v>
      </c>
      <c r="C34" s="1">
        <f t="shared" ref="C34:S34" si="0">SUM(C3:C33)</f>
        <v>0</v>
      </c>
      <c r="D34" s="1">
        <f t="shared" si="0"/>
        <v>26</v>
      </c>
      <c r="E34" s="1">
        <f t="shared" si="0"/>
        <v>33</v>
      </c>
      <c r="F34" s="1">
        <f t="shared" si="0"/>
        <v>0</v>
      </c>
      <c r="G34" s="1">
        <f t="shared" si="0"/>
        <v>47</v>
      </c>
      <c r="H34" s="1">
        <f t="shared" si="0"/>
        <v>2</v>
      </c>
      <c r="I34" s="1">
        <f t="shared" si="0"/>
        <v>0</v>
      </c>
      <c r="J34" s="1">
        <f t="shared" si="0"/>
        <v>23</v>
      </c>
      <c r="K34" s="1">
        <f t="shared" si="0"/>
        <v>53</v>
      </c>
      <c r="L34" s="1">
        <f t="shared" si="0"/>
        <v>0</v>
      </c>
      <c r="M34" s="1">
        <f t="shared" si="0"/>
        <v>2</v>
      </c>
      <c r="N34" s="1">
        <f t="shared" si="0"/>
        <v>15</v>
      </c>
      <c r="O34" s="1">
        <f t="shared" si="0"/>
        <v>0</v>
      </c>
      <c r="P34" s="1">
        <f t="shared" si="0"/>
        <v>12</v>
      </c>
      <c r="Q34" s="1">
        <f t="shared" si="0"/>
        <v>11</v>
      </c>
      <c r="R34" s="1">
        <f t="shared" si="0"/>
        <v>0</v>
      </c>
      <c r="S34" s="1">
        <f t="shared" si="0"/>
        <v>12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1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0.13333333333333333</v>
      </c>
      <c r="C36" s="3"/>
      <c r="D36" s="3"/>
      <c r="E36" s="3">
        <f t="shared" ref="E36" si="6" xml:space="preserve"> E34 / (E34 + G34)</f>
        <v>0.41249999999999998</v>
      </c>
      <c r="F36" s="3"/>
      <c r="G36" s="3"/>
      <c r="H36" s="3">
        <f t="shared" ref="H36" si="7" xml:space="preserve"> H34 / (H34 + J34)</f>
        <v>0.08</v>
      </c>
      <c r="I36" s="3"/>
      <c r="J36" s="3"/>
      <c r="K36" s="3">
        <f t="shared" ref="K36" si="8" xml:space="preserve"> K34 / (K34 + M34)</f>
        <v>0.96363636363636362</v>
      </c>
      <c r="L36" s="3"/>
      <c r="M36" s="3"/>
      <c r="N36" s="3">
        <f t="shared" ref="N36" si="9" xml:space="preserve"> N34 / (N34 + P34)</f>
        <v>0.55555555555555558</v>
      </c>
      <c r="O36" s="3"/>
      <c r="P36" s="3"/>
      <c r="Q36" s="3">
        <f t="shared" ref="Q36" si="10" xml:space="preserve"> Q34 / (Q34 + S34)</f>
        <v>0.47826086956521741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BF3B-71E5-4276-B5C7-4E465EB19598}">
  <dimension ref="A1:S36"/>
  <sheetViews>
    <sheetView topLeftCell="A7" workbookViewId="0">
      <selection activeCell="D33" sqref="D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165</v>
      </c>
      <c r="B3">
        <v>0</v>
      </c>
      <c r="C3">
        <v>0</v>
      </c>
      <c r="D3">
        <v>5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166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167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169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 x14ac:dyDescent="0.25">
      <c r="A8" t="s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174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176</v>
      </c>
      <c r="B14">
        <v>0</v>
      </c>
      <c r="C14">
        <v>0</v>
      </c>
      <c r="D14">
        <v>4</v>
      </c>
      <c r="E14">
        <v>2</v>
      </c>
      <c r="F14">
        <v>0</v>
      </c>
      <c r="G14">
        <v>3</v>
      </c>
      <c r="H14">
        <v>0</v>
      </c>
      <c r="I14">
        <v>0</v>
      </c>
      <c r="J14">
        <v>1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177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178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179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180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182</v>
      </c>
      <c r="B20">
        <v>0</v>
      </c>
      <c r="C20">
        <v>0</v>
      </c>
      <c r="D20">
        <v>0</v>
      </c>
      <c r="E20">
        <v>1</v>
      </c>
      <c r="F20">
        <v>0</v>
      </c>
      <c r="G20">
        <v>3</v>
      </c>
      <c r="H20">
        <v>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183</v>
      </c>
      <c r="B21">
        <v>0</v>
      </c>
      <c r="C21">
        <v>0</v>
      </c>
      <c r="D21">
        <v>0</v>
      </c>
      <c r="E21">
        <v>2</v>
      </c>
      <c r="F21">
        <v>0</v>
      </c>
      <c r="G21">
        <v>3</v>
      </c>
      <c r="H21">
        <v>0</v>
      </c>
      <c r="I21">
        <v>0</v>
      </c>
      <c r="J21">
        <v>1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184</v>
      </c>
      <c r="B22">
        <v>0</v>
      </c>
      <c r="C22">
        <v>0</v>
      </c>
      <c r="D22">
        <v>1</v>
      </c>
      <c r="E22">
        <v>1</v>
      </c>
      <c r="F22">
        <v>0</v>
      </c>
      <c r="G22">
        <v>4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185</v>
      </c>
      <c r="B23">
        <v>0</v>
      </c>
      <c r="C23">
        <v>0</v>
      </c>
      <c r="D23">
        <v>2</v>
      </c>
      <c r="E23">
        <v>1</v>
      </c>
      <c r="F23">
        <v>0</v>
      </c>
      <c r="G23">
        <v>4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186</v>
      </c>
      <c r="B24">
        <v>0</v>
      </c>
      <c r="C24">
        <v>0</v>
      </c>
      <c r="D24">
        <v>3</v>
      </c>
      <c r="E24">
        <v>2</v>
      </c>
      <c r="F24">
        <v>0</v>
      </c>
      <c r="G24">
        <v>3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187</v>
      </c>
      <c r="B25">
        <v>0</v>
      </c>
      <c r="C25">
        <v>0</v>
      </c>
      <c r="D25">
        <v>3</v>
      </c>
      <c r="E25">
        <v>2</v>
      </c>
      <c r="F25">
        <v>0</v>
      </c>
      <c r="G25">
        <v>3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188</v>
      </c>
      <c r="B26">
        <v>0</v>
      </c>
      <c r="C26">
        <v>0</v>
      </c>
      <c r="D26">
        <v>4</v>
      </c>
      <c r="E26">
        <v>3</v>
      </c>
      <c r="F26">
        <v>0</v>
      </c>
      <c r="G26">
        <v>2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189</v>
      </c>
      <c r="B27">
        <v>0</v>
      </c>
      <c r="C27">
        <v>0</v>
      </c>
      <c r="D27">
        <v>5</v>
      </c>
      <c r="E27">
        <v>1</v>
      </c>
      <c r="F27">
        <v>0</v>
      </c>
      <c r="G27">
        <v>4</v>
      </c>
      <c r="H27">
        <v>0</v>
      </c>
      <c r="I27">
        <v>0</v>
      </c>
      <c r="J27">
        <v>1</v>
      </c>
      <c r="K27">
        <v>2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190</v>
      </c>
      <c r="B28">
        <v>0</v>
      </c>
      <c r="C28">
        <v>0</v>
      </c>
      <c r="D28">
        <v>2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191</v>
      </c>
      <c r="B29">
        <v>0</v>
      </c>
      <c r="C29">
        <v>0</v>
      </c>
      <c r="D29">
        <v>1</v>
      </c>
      <c r="E29">
        <v>3</v>
      </c>
      <c r="F29">
        <v>0</v>
      </c>
      <c r="G29">
        <v>2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192</v>
      </c>
      <c r="B30">
        <v>0</v>
      </c>
      <c r="C30">
        <v>0</v>
      </c>
      <c r="D30">
        <v>0</v>
      </c>
      <c r="E30">
        <v>3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193</v>
      </c>
      <c r="B31">
        <v>0</v>
      </c>
      <c r="C31">
        <v>0</v>
      </c>
      <c r="D31">
        <v>0</v>
      </c>
      <c r="E31">
        <v>2</v>
      </c>
      <c r="F31">
        <v>0</v>
      </c>
      <c r="G31">
        <v>2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194</v>
      </c>
      <c r="B32">
        <v>0</v>
      </c>
      <c r="C32">
        <v>0</v>
      </c>
      <c r="D32">
        <v>0</v>
      </c>
      <c r="E32">
        <v>2</v>
      </c>
      <c r="F32">
        <v>0</v>
      </c>
      <c r="G32">
        <v>1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195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0</v>
      </c>
      <c r="C34" s="1">
        <f t="shared" ref="C34:S34" si="0">SUM(C3:C33)</f>
        <v>0</v>
      </c>
      <c r="D34" s="1">
        <f t="shared" si="0"/>
        <v>30</v>
      </c>
      <c r="E34" s="1">
        <f t="shared" si="0"/>
        <v>33</v>
      </c>
      <c r="F34" s="1">
        <f t="shared" si="0"/>
        <v>0</v>
      </c>
      <c r="G34" s="1">
        <f t="shared" si="0"/>
        <v>47</v>
      </c>
      <c r="H34" s="1">
        <f t="shared" si="0"/>
        <v>2</v>
      </c>
      <c r="I34" s="1">
        <f t="shared" si="0"/>
        <v>0</v>
      </c>
      <c r="J34" s="1">
        <f t="shared" si="0"/>
        <v>26</v>
      </c>
      <c r="K34" s="1">
        <f t="shared" si="0"/>
        <v>52</v>
      </c>
      <c r="L34" s="1">
        <f t="shared" si="0"/>
        <v>1</v>
      </c>
      <c r="M34" s="1">
        <f t="shared" si="0"/>
        <v>0</v>
      </c>
      <c r="N34" s="1">
        <f t="shared" si="0"/>
        <v>19</v>
      </c>
      <c r="O34" s="1">
        <f t="shared" si="0"/>
        <v>0</v>
      </c>
      <c r="P34" s="1">
        <f t="shared" si="0"/>
        <v>7</v>
      </c>
      <c r="Q34" s="1">
        <f t="shared" si="0"/>
        <v>8</v>
      </c>
      <c r="R34" s="1">
        <f t="shared" si="0"/>
        <v>0</v>
      </c>
      <c r="S34" s="1">
        <f t="shared" si="0"/>
        <v>16</v>
      </c>
    </row>
    <row r="35" spans="1:19" x14ac:dyDescent="0.25">
      <c r="A35" s="1" t="s">
        <v>321</v>
      </c>
      <c r="B35" s="3" t="e">
        <f>B34 / (B34 + C34)</f>
        <v>#DIV/0!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0.98113207547169812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</v>
      </c>
      <c r="C36" s="3"/>
      <c r="D36" s="3"/>
      <c r="E36" s="3">
        <f t="shared" ref="E36" si="6" xml:space="preserve"> E34 / (E34 + G34)</f>
        <v>0.41249999999999998</v>
      </c>
      <c r="F36" s="3"/>
      <c r="G36" s="3"/>
      <c r="H36" s="3">
        <f t="shared" ref="H36" si="7" xml:space="preserve"> H34 / (H34 + J34)</f>
        <v>7.1428571428571425E-2</v>
      </c>
      <c r="I36" s="3"/>
      <c r="J36" s="3"/>
      <c r="K36" s="3">
        <f t="shared" ref="K36" si="8" xml:space="preserve"> K34 / (K34 + M34)</f>
        <v>1</v>
      </c>
      <c r="L36" s="3"/>
      <c r="M36" s="3"/>
      <c r="N36" s="3">
        <f t="shared" ref="N36" si="9" xml:space="preserve"> N34 / (N34 + P34)</f>
        <v>0.73076923076923073</v>
      </c>
      <c r="O36" s="3"/>
      <c r="P36" s="3"/>
      <c r="Q36" s="3">
        <f t="shared" ref="Q36" si="10" xml:space="preserve"> Q34 / (Q34 + S34)</f>
        <v>0.33333333333333331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244B-226E-4512-98E4-5C0A20E89857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196</v>
      </c>
      <c r="B3">
        <v>0</v>
      </c>
      <c r="C3">
        <v>0</v>
      </c>
      <c r="D3">
        <v>5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197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198</v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199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200</v>
      </c>
      <c r="B7">
        <v>1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201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202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207</v>
      </c>
      <c r="B14">
        <v>0</v>
      </c>
      <c r="C14">
        <v>0</v>
      </c>
      <c r="D14">
        <v>5</v>
      </c>
      <c r="E14">
        <v>0</v>
      </c>
      <c r="F14">
        <v>0</v>
      </c>
      <c r="G14">
        <v>5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210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211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25">
      <c r="A19" t="s">
        <v>212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213</v>
      </c>
      <c r="B20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214</v>
      </c>
      <c r="B21">
        <v>3</v>
      </c>
      <c r="C21">
        <v>0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215</v>
      </c>
      <c r="B22">
        <v>3</v>
      </c>
      <c r="C22">
        <v>0</v>
      </c>
      <c r="D22">
        <v>2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216</v>
      </c>
      <c r="B23">
        <v>2</v>
      </c>
      <c r="C23">
        <v>0</v>
      </c>
      <c r="D23">
        <v>3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217</v>
      </c>
      <c r="B24">
        <v>3</v>
      </c>
      <c r="C24">
        <v>0</v>
      </c>
      <c r="D24">
        <v>2</v>
      </c>
      <c r="E24">
        <v>1</v>
      </c>
      <c r="F24">
        <v>0</v>
      </c>
      <c r="G24">
        <v>2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218</v>
      </c>
      <c r="B25">
        <v>0</v>
      </c>
      <c r="C25">
        <v>0</v>
      </c>
      <c r="D25">
        <v>5</v>
      </c>
      <c r="E25">
        <v>0</v>
      </c>
      <c r="F25">
        <v>0</v>
      </c>
      <c r="G25">
        <v>4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219</v>
      </c>
      <c r="B26">
        <v>2</v>
      </c>
      <c r="C26">
        <v>0</v>
      </c>
      <c r="D26">
        <v>3</v>
      </c>
      <c r="E26">
        <v>1</v>
      </c>
      <c r="F26">
        <v>0</v>
      </c>
      <c r="G26">
        <v>3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220</v>
      </c>
      <c r="B27">
        <v>2</v>
      </c>
      <c r="C27">
        <v>0</v>
      </c>
      <c r="D27">
        <v>3</v>
      </c>
      <c r="E27">
        <v>1</v>
      </c>
      <c r="F27">
        <v>0</v>
      </c>
      <c r="G27">
        <v>4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221</v>
      </c>
      <c r="B28">
        <v>0</v>
      </c>
      <c r="C28">
        <v>0</v>
      </c>
      <c r="D28">
        <v>5</v>
      </c>
      <c r="E28">
        <v>0</v>
      </c>
      <c r="F28">
        <v>0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222</v>
      </c>
      <c r="B29">
        <v>0</v>
      </c>
      <c r="C29">
        <v>0</v>
      </c>
      <c r="D29">
        <v>5</v>
      </c>
      <c r="E29">
        <v>0</v>
      </c>
      <c r="F29">
        <v>0</v>
      </c>
      <c r="G29">
        <v>2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223</v>
      </c>
      <c r="B30">
        <v>0</v>
      </c>
      <c r="C30">
        <v>0</v>
      </c>
      <c r="D30">
        <v>5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224</v>
      </c>
      <c r="B31">
        <v>0</v>
      </c>
      <c r="C31">
        <v>0</v>
      </c>
      <c r="D31">
        <v>5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225</v>
      </c>
      <c r="B32">
        <v>0</v>
      </c>
      <c r="C32">
        <v>0</v>
      </c>
      <c r="D32">
        <v>5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226</v>
      </c>
      <c r="B33">
        <v>0</v>
      </c>
      <c r="C33">
        <v>0</v>
      </c>
      <c r="D33">
        <v>5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24</v>
      </c>
      <c r="C34" s="1">
        <f t="shared" ref="C34:S34" si="0">SUM(C3:C33)</f>
        <v>0</v>
      </c>
      <c r="D34" s="1">
        <f t="shared" si="0"/>
        <v>81</v>
      </c>
      <c r="E34" s="1">
        <f t="shared" si="0"/>
        <v>5</v>
      </c>
      <c r="F34" s="1">
        <f t="shared" si="0"/>
        <v>0</v>
      </c>
      <c r="G34" s="1">
        <f t="shared" si="0"/>
        <v>32</v>
      </c>
      <c r="H34" s="1">
        <f t="shared" si="0"/>
        <v>18</v>
      </c>
      <c r="I34" s="1">
        <f t="shared" si="0"/>
        <v>0</v>
      </c>
      <c r="J34" s="1">
        <f t="shared" si="0"/>
        <v>4</v>
      </c>
      <c r="K34" s="1">
        <f t="shared" si="0"/>
        <v>32</v>
      </c>
      <c r="L34" s="1">
        <f t="shared" si="0"/>
        <v>1</v>
      </c>
      <c r="M34" s="1">
        <f t="shared" si="0"/>
        <v>6</v>
      </c>
      <c r="N34" s="1">
        <f t="shared" si="0"/>
        <v>13</v>
      </c>
      <c r="O34" s="1">
        <f t="shared" si="0"/>
        <v>1</v>
      </c>
      <c r="P34" s="1">
        <f t="shared" si="0"/>
        <v>3</v>
      </c>
      <c r="Q34" s="1">
        <f t="shared" si="0"/>
        <v>22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0.96969696969696972</v>
      </c>
      <c r="L35" s="3"/>
      <c r="M35" s="3"/>
      <c r="N35" s="3">
        <f t="shared" ref="N35" si="4">N34 / (N34 + O34)</f>
        <v>0.9285714285714286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0.22857142857142856</v>
      </c>
      <c r="C36" s="3"/>
      <c r="D36" s="3"/>
      <c r="E36" s="3">
        <f t="shared" ref="E36" si="6" xml:space="preserve"> E34 / (E34 + G34)</f>
        <v>0.13513513513513514</v>
      </c>
      <c r="F36" s="3"/>
      <c r="G36" s="3"/>
      <c r="H36" s="3">
        <f t="shared" ref="H36" si="7" xml:space="preserve"> H34 / (H34 + J34)</f>
        <v>0.81818181818181823</v>
      </c>
      <c r="I36" s="3"/>
      <c r="J36" s="3"/>
      <c r="K36" s="3">
        <f t="shared" ref="K36" si="8" xml:space="preserve"> K34 / (K34 + M34)</f>
        <v>0.84210526315789469</v>
      </c>
      <c r="L36" s="3"/>
      <c r="M36" s="3"/>
      <c r="N36" s="3">
        <f t="shared" ref="N36" si="9" xml:space="preserve"> N34 / (N34 + P34)</f>
        <v>0.8125</v>
      </c>
      <c r="O36" s="3"/>
      <c r="P36" s="3"/>
      <c r="Q36" s="3">
        <f t="shared" ref="Q36" si="10" xml:space="preserve"> Q34 / (Q34 + S34)</f>
        <v>1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F43E-04D3-4848-B8ED-5EFBC3454F4D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227</v>
      </c>
      <c r="B3">
        <v>3</v>
      </c>
      <c r="C3">
        <v>0</v>
      </c>
      <c r="D3">
        <v>2</v>
      </c>
      <c r="E3">
        <v>1</v>
      </c>
      <c r="F3">
        <v>0</v>
      </c>
      <c r="G3">
        <v>4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228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229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238</v>
      </c>
      <c r="B14">
        <v>2</v>
      </c>
      <c r="C14">
        <v>0</v>
      </c>
      <c r="D14">
        <v>2</v>
      </c>
      <c r="E14">
        <v>1</v>
      </c>
      <c r="F14">
        <v>0</v>
      </c>
      <c r="G14">
        <v>4</v>
      </c>
      <c r="H14">
        <v>1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241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242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0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243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244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245</v>
      </c>
      <c r="B21">
        <v>0</v>
      </c>
      <c r="C21">
        <v>0</v>
      </c>
      <c r="D21">
        <v>0</v>
      </c>
      <c r="E21">
        <v>0</v>
      </c>
      <c r="F21">
        <v>0</v>
      </c>
      <c r="G21">
        <v>5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246</v>
      </c>
      <c r="B22">
        <v>1</v>
      </c>
      <c r="C22">
        <v>0</v>
      </c>
      <c r="D22">
        <v>0</v>
      </c>
      <c r="E22">
        <v>0</v>
      </c>
      <c r="F22">
        <v>0</v>
      </c>
      <c r="G22">
        <v>5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247</v>
      </c>
      <c r="B23">
        <v>1</v>
      </c>
      <c r="C23">
        <v>0</v>
      </c>
      <c r="D23">
        <v>1</v>
      </c>
      <c r="E23">
        <v>0</v>
      </c>
      <c r="F23">
        <v>0</v>
      </c>
      <c r="G23">
        <v>5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248</v>
      </c>
      <c r="B24">
        <v>2</v>
      </c>
      <c r="C24">
        <v>0</v>
      </c>
      <c r="D24">
        <v>1</v>
      </c>
      <c r="E24">
        <v>0</v>
      </c>
      <c r="F24">
        <v>0</v>
      </c>
      <c r="G24">
        <v>5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249</v>
      </c>
      <c r="B25">
        <v>2</v>
      </c>
      <c r="C25">
        <v>0</v>
      </c>
      <c r="D25">
        <v>1</v>
      </c>
      <c r="E25">
        <v>1</v>
      </c>
      <c r="F25">
        <v>0</v>
      </c>
      <c r="G25">
        <v>4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250</v>
      </c>
      <c r="B26">
        <v>2</v>
      </c>
      <c r="C26">
        <v>0</v>
      </c>
      <c r="D26">
        <v>2</v>
      </c>
      <c r="E26">
        <v>0</v>
      </c>
      <c r="F26">
        <v>0</v>
      </c>
      <c r="G26">
        <v>5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251</v>
      </c>
      <c r="B27">
        <v>2</v>
      </c>
      <c r="C27">
        <v>0</v>
      </c>
      <c r="D27">
        <v>3</v>
      </c>
      <c r="E27">
        <v>0</v>
      </c>
      <c r="F27">
        <v>0</v>
      </c>
      <c r="G27">
        <v>5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252</v>
      </c>
      <c r="B28">
        <v>1</v>
      </c>
      <c r="C28">
        <v>0</v>
      </c>
      <c r="D28">
        <v>1</v>
      </c>
      <c r="E28">
        <v>1</v>
      </c>
      <c r="F28">
        <v>0</v>
      </c>
      <c r="G28">
        <v>4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253</v>
      </c>
      <c r="B29">
        <v>1</v>
      </c>
      <c r="C29">
        <v>0</v>
      </c>
      <c r="D29">
        <v>0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254</v>
      </c>
      <c r="B30">
        <v>1</v>
      </c>
      <c r="C30">
        <v>0</v>
      </c>
      <c r="D30">
        <v>0</v>
      </c>
      <c r="E30">
        <v>1</v>
      </c>
      <c r="F30">
        <v>0</v>
      </c>
      <c r="G30">
        <v>4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</row>
    <row r="31" spans="1:19" x14ac:dyDescent="0.25">
      <c r="A31" t="s">
        <v>255</v>
      </c>
      <c r="B31">
        <v>0</v>
      </c>
      <c r="C31">
        <v>0</v>
      </c>
      <c r="D31">
        <v>0</v>
      </c>
      <c r="E31">
        <v>1</v>
      </c>
      <c r="F31">
        <v>0</v>
      </c>
      <c r="G31">
        <v>4</v>
      </c>
      <c r="H31">
        <v>0</v>
      </c>
      <c r="I31">
        <v>0</v>
      </c>
      <c r="J31">
        <v>1</v>
      </c>
      <c r="K31">
        <v>2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256</v>
      </c>
      <c r="B32">
        <v>0</v>
      </c>
      <c r="C32">
        <v>0</v>
      </c>
      <c r="D32">
        <v>0</v>
      </c>
      <c r="E32">
        <v>1</v>
      </c>
      <c r="F32">
        <v>0</v>
      </c>
      <c r="G32">
        <v>3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257</v>
      </c>
      <c r="B33">
        <v>0</v>
      </c>
      <c r="C33">
        <v>0</v>
      </c>
      <c r="D33">
        <v>0</v>
      </c>
      <c r="E33">
        <v>1</v>
      </c>
      <c r="F33">
        <v>0</v>
      </c>
      <c r="G33">
        <v>2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 t="s">
        <v>320</v>
      </c>
      <c r="B34" s="1">
        <f>SUM(B3:B33)</f>
        <v>18</v>
      </c>
      <c r="C34" s="1">
        <f t="shared" ref="C34:S34" si="0">SUM(C3:C33)</f>
        <v>0</v>
      </c>
      <c r="D34" s="1">
        <f t="shared" si="0"/>
        <v>13</v>
      </c>
      <c r="E34" s="1">
        <f t="shared" si="0"/>
        <v>10</v>
      </c>
      <c r="F34" s="1">
        <f t="shared" si="0"/>
        <v>0</v>
      </c>
      <c r="G34" s="1">
        <f t="shared" si="0"/>
        <v>75</v>
      </c>
      <c r="H34" s="1">
        <f t="shared" si="0"/>
        <v>23</v>
      </c>
      <c r="I34" s="1">
        <f t="shared" si="0"/>
        <v>0</v>
      </c>
      <c r="J34" s="1">
        <f t="shared" si="0"/>
        <v>7</v>
      </c>
      <c r="K34" s="1">
        <f t="shared" si="0"/>
        <v>50</v>
      </c>
      <c r="L34" s="1">
        <f t="shared" si="0"/>
        <v>4</v>
      </c>
      <c r="M34" s="1">
        <f t="shared" si="0"/>
        <v>1</v>
      </c>
      <c r="N34" s="1">
        <f t="shared" si="0"/>
        <v>23</v>
      </c>
      <c r="O34" s="1">
        <f t="shared" si="0"/>
        <v>0</v>
      </c>
      <c r="P34" s="1">
        <f t="shared" si="0"/>
        <v>3</v>
      </c>
      <c r="Q34" s="1">
        <f t="shared" si="0"/>
        <v>5</v>
      </c>
      <c r="R34" s="1">
        <f t="shared" si="0"/>
        <v>0</v>
      </c>
      <c r="S34" s="1">
        <f t="shared" si="0"/>
        <v>12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0.92592592592592593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0.58064516129032262</v>
      </c>
      <c r="C36" s="3"/>
      <c r="D36" s="3"/>
      <c r="E36" s="3">
        <f t="shared" ref="E36" si="6" xml:space="preserve"> E34 / (E34 + G34)</f>
        <v>0.11764705882352941</v>
      </c>
      <c r="F36" s="3"/>
      <c r="G36" s="3"/>
      <c r="H36" s="3">
        <f t="shared" ref="H36" si="7" xml:space="preserve"> H34 / (H34 + J34)</f>
        <v>0.76666666666666672</v>
      </c>
      <c r="I36" s="3"/>
      <c r="J36" s="3"/>
      <c r="K36" s="3">
        <f t="shared" ref="K36" si="8" xml:space="preserve"> K34 / (K34 + M34)</f>
        <v>0.98039215686274506</v>
      </c>
      <c r="L36" s="3"/>
      <c r="M36" s="3"/>
      <c r="N36" s="3">
        <f t="shared" ref="N36" si="9" xml:space="preserve"> N34 / (N34 + P34)</f>
        <v>0.88461538461538458</v>
      </c>
      <c r="O36" s="3"/>
      <c r="P36" s="3"/>
      <c r="Q36" s="3">
        <f t="shared" ref="Q36" si="10" xml:space="preserve"> Q34 / (Q34 + S34)</f>
        <v>0.29411764705882354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C7FD-8086-4B9B-B3A5-351B536B0B36}">
  <dimension ref="A1:S36"/>
  <sheetViews>
    <sheetView topLeftCell="A4"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258</v>
      </c>
      <c r="B3">
        <v>0</v>
      </c>
      <c r="C3">
        <v>0</v>
      </c>
      <c r="D3">
        <v>5</v>
      </c>
      <c r="E3">
        <v>1</v>
      </c>
      <c r="F3">
        <v>0</v>
      </c>
      <c r="G3">
        <v>4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259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260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261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266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267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268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269</v>
      </c>
      <c r="B14">
        <v>0</v>
      </c>
      <c r="C14">
        <v>0</v>
      </c>
      <c r="D14">
        <v>4</v>
      </c>
      <c r="E14">
        <v>0</v>
      </c>
      <c r="F14">
        <v>0</v>
      </c>
      <c r="G14">
        <v>5</v>
      </c>
      <c r="H14">
        <v>1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270</v>
      </c>
      <c r="B15">
        <v>0</v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271</v>
      </c>
      <c r="B16">
        <v>0</v>
      </c>
      <c r="C16">
        <v>0</v>
      </c>
      <c r="D16">
        <v>0</v>
      </c>
      <c r="E16">
        <v>1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272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273</v>
      </c>
      <c r="B18">
        <v>0</v>
      </c>
      <c r="C18">
        <v>0</v>
      </c>
      <c r="D18">
        <v>0</v>
      </c>
      <c r="E18">
        <v>1</v>
      </c>
      <c r="F18">
        <v>0</v>
      </c>
      <c r="G18">
        <v>2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</row>
    <row r="19" spans="1:19" x14ac:dyDescent="0.25">
      <c r="A19" t="s">
        <v>274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1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275</v>
      </c>
      <c r="B20">
        <v>0</v>
      </c>
      <c r="C20">
        <v>0</v>
      </c>
      <c r="D20">
        <v>1</v>
      </c>
      <c r="E20">
        <v>0</v>
      </c>
      <c r="F20">
        <v>0</v>
      </c>
      <c r="G20">
        <v>3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276</v>
      </c>
      <c r="B21">
        <v>0</v>
      </c>
      <c r="C21">
        <v>0</v>
      </c>
      <c r="D21">
        <v>2</v>
      </c>
      <c r="E21">
        <v>0</v>
      </c>
      <c r="F21">
        <v>0</v>
      </c>
      <c r="G21">
        <v>3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277</v>
      </c>
      <c r="B22">
        <v>1</v>
      </c>
      <c r="C22">
        <v>0</v>
      </c>
      <c r="D22">
        <v>2</v>
      </c>
      <c r="E22">
        <v>0</v>
      </c>
      <c r="F22">
        <v>0</v>
      </c>
      <c r="G22">
        <v>3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278</v>
      </c>
      <c r="B23">
        <v>1</v>
      </c>
      <c r="C23">
        <v>0</v>
      </c>
      <c r="D23">
        <v>2</v>
      </c>
      <c r="E23">
        <v>1</v>
      </c>
      <c r="F23">
        <v>0</v>
      </c>
      <c r="G23">
        <v>3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279</v>
      </c>
      <c r="B24">
        <v>1</v>
      </c>
      <c r="C24">
        <v>0</v>
      </c>
      <c r="D24">
        <v>2</v>
      </c>
      <c r="E24">
        <v>1</v>
      </c>
      <c r="F24">
        <v>0</v>
      </c>
      <c r="G24">
        <v>4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280</v>
      </c>
      <c r="B25">
        <v>0</v>
      </c>
      <c r="C25">
        <v>0</v>
      </c>
      <c r="D25">
        <v>3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281</v>
      </c>
      <c r="B26">
        <v>1</v>
      </c>
      <c r="C26">
        <v>0</v>
      </c>
      <c r="D26">
        <v>3</v>
      </c>
      <c r="E26">
        <v>1</v>
      </c>
      <c r="F26">
        <v>0</v>
      </c>
      <c r="G26">
        <v>4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282</v>
      </c>
      <c r="B27">
        <v>1</v>
      </c>
      <c r="C27">
        <v>0</v>
      </c>
      <c r="D27">
        <v>4</v>
      </c>
      <c r="E27">
        <v>1</v>
      </c>
      <c r="F27">
        <v>0</v>
      </c>
      <c r="G27">
        <v>4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283</v>
      </c>
      <c r="B28">
        <v>0</v>
      </c>
      <c r="C28">
        <v>0</v>
      </c>
      <c r="D28">
        <v>3</v>
      </c>
      <c r="E28">
        <v>0</v>
      </c>
      <c r="F28">
        <v>0</v>
      </c>
      <c r="G28">
        <v>4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284</v>
      </c>
      <c r="B29">
        <v>0</v>
      </c>
      <c r="C29">
        <v>0</v>
      </c>
      <c r="D29">
        <v>3</v>
      </c>
      <c r="E29">
        <v>0</v>
      </c>
      <c r="F29">
        <v>0</v>
      </c>
      <c r="G29">
        <v>3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285</v>
      </c>
      <c r="B30">
        <v>1</v>
      </c>
      <c r="C30">
        <v>0</v>
      </c>
      <c r="D30">
        <v>2</v>
      </c>
      <c r="E30">
        <v>0</v>
      </c>
      <c r="F30">
        <v>0</v>
      </c>
      <c r="G30">
        <v>2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286</v>
      </c>
      <c r="B31">
        <v>1</v>
      </c>
      <c r="C31">
        <v>0</v>
      </c>
      <c r="D31">
        <v>2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287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288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8</v>
      </c>
      <c r="C34" s="1">
        <f t="shared" ref="C34:S34" si="0">SUM(C3:C33)</f>
        <v>0</v>
      </c>
      <c r="D34" s="1">
        <f t="shared" si="0"/>
        <v>41</v>
      </c>
      <c r="E34" s="1">
        <f t="shared" si="0"/>
        <v>9</v>
      </c>
      <c r="F34" s="1">
        <f t="shared" si="0"/>
        <v>0</v>
      </c>
      <c r="G34" s="1">
        <f t="shared" si="0"/>
        <v>66</v>
      </c>
      <c r="H34" s="1">
        <f t="shared" si="0"/>
        <v>18</v>
      </c>
      <c r="I34" s="1">
        <f t="shared" si="0"/>
        <v>0</v>
      </c>
      <c r="J34" s="1">
        <f t="shared" si="0"/>
        <v>1</v>
      </c>
      <c r="K34" s="1">
        <f t="shared" si="0"/>
        <v>36</v>
      </c>
      <c r="L34" s="1">
        <f t="shared" si="0"/>
        <v>0</v>
      </c>
      <c r="M34" s="1">
        <f t="shared" si="0"/>
        <v>10</v>
      </c>
      <c r="N34" s="1">
        <f t="shared" si="0"/>
        <v>26</v>
      </c>
      <c r="O34" s="1">
        <f t="shared" si="0"/>
        <v>1</v>
      </c>
      <c r="P34" s="1">
        <f t="shared" si="0"/>
        <v>2</v>
      </c>
      <c r="Q34" s="1">
        <f t="shared" si="0"/>
        <v>1</v>
      </c>
      <c r="R34" s="1">
        <f t="shared" si="0"/>
        <v>0</v>
      </c>
      <c r="S34" s="1">
        <f t="shared" si="0"/>
        <v>22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1</v>
      </c>
      <c r="L35" s="3"/>
      <c r="M35" s="3"/>
      <c r="N35" s="3">
        <f t="shared" ref="N35" si="4">N34 / (N34 + O34)</f>
        <v>0.96296296296296291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0.16326530612244897</v>
      </c>
      <c r="C36" s="3"/>
      <c r="D36" s="3"/>
      <c r="E36" s="3">
        <f t="shared" ref="E36" si="6" xml:space="preserve"> E34 / (E34 + G34)</f>
        <v>0.12</v>
      </c>
      <c r="F36" s="3"/>
      <c r="G36" s="3"/>
      <c r="H36" s="3">
        <f t="shared" ref="H36" si="7" xml:space="preserve"> H34 / (H34 + J34)</f>
        <v>0.94736842105263153</v>
      </c>
      <c r="I36" s="3"/>
      <c r="J36" s="3"/>
      <c r="K36" s="3">
        <f t="shared" ref="K36" si="8" xml:space="preserve"> K34 / (K34 + M34)</f>
        <v>0.78260869565217395</v>
      </c>
      <c r="L36" s="3"/>
      <c r="M36" s="3"/>
      <c r="N36" s="3">
        <f t="shared" ref="N36" si="9" xml:space="preserve"> N34 / (N34 + P34)</f>
        <v>0.9285714285714286</v>
      </c>
      <c r="O36" s="3"/>
      <c r="P36" s="3"/>
      <c r="Q36" s="3">
        <f t="shared" ref="Q36" si="10" xml:space="preserve"> Q34 / (Q34 + S34)</f>
        <v>4.3478260869565216E-2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F24E-4C0C-4399-BEDD-50832B34F672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289</v>
      </c>
      <c r="B3">
        <v>0</v>
      </c>
      <c r="C3">
        <v>0</v>
      </c>
      <c r="D3">
        <v>5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290</v>
      </c>
      <c r="B4">
        <v>2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291</v>
      </c>
      <c r="B5">
        <v>1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292</v>
      </c>
      <c r="B6">
        <v>1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293</v>
      </c>
      <c r="B7">
        <v>1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294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295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297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300</v>
      </c>
      <c r="B14">
        <v>0</v>
      </c>
      <c r="C14">
        <v>0</v>
      </c>
      <c r="D14">
        <v>5</v>
      </c>
      <c r="E14">
        <v>2</v>
      </c>
      <c r="F14">
        <v>0</v>
      </c>
      <c r="G14">
        <v>3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301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302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303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1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</row>
    <row r="18" spans="1:19" x14ac:dyDescent="0.25">
      <c r="A18" t="s">
        <v>304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25">
      <c r="A19" t="s">
        <v>305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306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307</v>
      </c>
      <c r="B21">
        <v>2</v>
      </c>
      <c r="C21">
        <v>0</v>
      </c>
      <c r="D21">
        <v>3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308</v>
      </c>
      <c r="B22">
        <v>2</v>
      </c>
      <c r="C22">
        <v>0</v>
      </c>
      <c r="D22">
        <v>3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309</v>
      </c>
      <c r="B23">
        <v>1</v>
      </c>
      <c r="C23">
        <v>0</v>
      </c>
      <c r="D23">
        <v>4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310</v>
      </c>
      <c r="B24">
        <v>2</v>
      </c>
      <c r="C24">
        <v>0</v>
      </c>
      <c r="D24">
        <v>3</v>
      </c>
      <c r="E24">
        <v>1</v>
      </c>
      <c r="F24">
        <v>0</v>
      </c>
      <c r="G24">
        <v>2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311</v>
      </c>
      <c r="B25">
        <v>0</v>
      </c>
      <c r="C25">
        <v>0</v>
      </c>
      <c r="D25">
        <v>4</v>
      </c>
      <c r="E25">
        <v>2</v>
      </c>
      <c r="F25">
        <v>0</v>
      </c>
      <c r="G25">
        <v>3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312</v>
      </c>
      <c r="B26">
        <v>2</v>
      </c>
      <c r="C26">
        <v>0</v>
      </c>
      <c r="D26">
        <v>3</v>
      </c>
      <c r="E26">
        <v>0</v>
      </c>
      <c r="F26">
        <v>0</v>
      </c>
      <c r="G26">
        <v>4</v>
      </c>
      <c r="H26">
        <v>1</v>
      </c>
      <c r="I26">
        <v>0</v>
      </c>
      <c r="J26">
        <v>0</v>
      </c>
      <c r="K26">
        <v>2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313</v>
      </c>
      <c r="B27">
        <v>2</v>
      </c>
      <c r="C27">
        <v>0</v>
      </c>
      <c r="D27">
        <v>3</v>
      </c>
      <c r="E27">
        <v>0</v>
      </c>
      <c r="F27">
        <v>0</v>
      </c>
      <c r="G27">
        <v>5</v>
      </c>
      <c r="H27">
        <v>0</v>
      </c>
      <c r="I27">
        <v>0</v>
      </c>
      <c r="J27">
        <v>1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314</v>
      </c>
      <c r="B28">
        <v>0</v>
      </c>
      <c r="C28">
        <v>0</v>
      </c>
      <c r="D28">
        <v>4</v>
      </c>
      <c r="E28">
        <v>1</v>
      </c>
      <c r="F28">
        <v>0</v>
      </c>
      <c r="G28">
        <v>3</v>
      </c>
      <c r="H28">
        <v>0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315</v>
      </c>
      <c r="B29">
        <v>0</v>
      </c>
      <c r="C29">
        <v>0</v>
      </c>
      <c r="D29">
        <v>4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316</v>
      </c>
      <c r="B30">
        <v>1</v>
      </c>
      <c r="C30">
        <v>0</v>
      </c>
      <c r="D30">
        <v>3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317</v>
      </c>
      <c r="B31">
        <v>1</v>
      </c>
      <c r="C31">
        <v>0</v>
      </c>
      <c r="D31">
        <v>3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318</v>
      </c>
      <c r="B32">
        <v>1</v>
      </c>
      <c r="C32">
        <v>0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319</v>
      </c>
      <c r="B33">
        <v>1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320</v>
      </c>
      <c r="B34" s="1">
        <f>SUM(B3:B33)</f>
        <v>28</v>
      </c>
      <c r="C34" s="1">
        <f t="shared" ref="C34:S34" si="0">SUM(C3:C33)</f>
        <v>0</v>
      </c>
      <c r="D34" s="1">
        <f t="shared" si="0"/>
        <v>68</v>
      </c>
      <c r="E34" s="1">
        <f t="shared" si="0"/>
        <v>11</v>
      </c>
      <c r="F34" s="1">
        <f t="shared" si="0"/>
        <v>0</v>
      </c>
      <c r="G34" s="1">
        <f t="shared" si="0"/>
        <v>29</v>
      </c>
      <c r="H34" s="1">
        <f t="shared" si="0"/>
        <v>11</v>
      </c>
      <c r="I34" s="1">
        <f t="shared" si="0"/>
        <v>0</v>
      </c>
      <c r="J34" s="1">
        <f t="shared" si="0"/>
        <v>2</v>
      </c>
      <c r="K34" s="1">
        <f t="shared" si="0"/>
        <v>49</v>
      </c>
      <c r="L34" s="1">
        <f t="shared" si="0"/>
        <v>11</v>
      </c>
      <c r="M34" s="1">
        <f t="shared" si="0"/>
        <v>0</v>
      </c>
      <c r="N34" s="1">
        <f t="shared" si="0"/>
        <v>10</v>
      </c>
      <c r="O34" s="1">
        <f t="shared" si="0"/>
        <v>0</v>
      </c>
      <c r="P34" s="1">
        <f t="shared" si="0"/>
        <v>11</v>
      </c>
      <c r="Q34" s="1">
        <f t="shared" si="0"/>
        <v>10</v>
      </c>
      <c r="R34" s="1">
        <f t="shared" si="0"/>
        <v>0</v>
      </c>
      <c r="S34" s="1">
        <f t="shared" si="0"/>
        <v>11</v>
      </c>
    </row>
    <row r="35" spans="1:19" x14ac:dyDescent="0.25">
      <c r="A35" s="1" t="s">
        <v>321</v>
      </c>
      <c r="B35" s="3">
        <f>B34 / (B34 + C34)</f>
        <v>1</v>
      </c>
      <c r="C35" s="3"/>
      <c r="D35" s="3"/>
      <c r="E35" s="3">
        <f t="shared" ref="E35" si="1">E34 / (E34 + F34)</f>
        <v>1</v>
      </c>
      <c r="F35" s="3"/>
      <c r="G35" s="3"/>
      <c r="H35" s="3">
        <f t="shared" ref="H35" si="2">H34 / (H34 + I34)</f>
        <v>1</v>
      </c>
      <c r="I35" s="3"/>
      <c r="J35" s="3"/>
      <c r="K35" s="3">
        <f t="shared" ref="K35" si="3">K34 / (K34 + L34)</f>
        <v>0.81666666666666665</v>
      </c>
      <c r="L35" s="3"/>
      <c r="M35" s="3"/>
      <c r="N35" s="3">
        <f t="shared" ref="N35" si="4">N34 / (N34 + O34)</f>
        <v>1</v>
      </c>
      <c r="O35" s="3"/>
      <c r="P35" s="3"/>
      <c r="Q35" s="3">
        <f t="shared" ref="Q35" si="5">Q34 / (Q34 + R34)</f>
        <v>1</v>
      </c>
      <c r="R35" s="3"/>
      <c r="S35" s="3"/>
    </row>
    <row r="36" spans="1:19" x14ac:dyDescent="0.25">
      <c r="A36" s="1" t="s">
        <v>322</v>
      </c>
      <c r="B36" s="3">
        <f xml:space="preserve"> B34 / (B34 + D34)</f>
        <v>0.29166666666666669</v>
      </c>
      <c r="C36" s="3"/>
      <c r="D36" s="3"/>
      <c r="E36" s="3">
        <f t="shared" ref="E36" si="6" xml:space="preserve"> E34 / (E34 + G34)</f>
        <v>0.27500000000000002</v>
      </c>
      <c r="F36" s="3"/>
      <c r="G36" s="3"/>
      <c r="H36" s="3">
        <f t="shared" ref="H36" si="7" xml:space="preserve"> H34 / (H34 + J34)</f>
        <v>0.84615384615384615</v>
      </c>
      <c r="I36" s="3"/>
      <c r="J36" s="3"/>
      <c r="K36" s="3">
        <f t="shared" ref="K36" si="8" xml:space="preserve"> K34 / (K34 + M34)</f>
        <v>1</v>
      </c>
      <c r="L36" s="3"/>
      <c r="M36" s="3"/>
      <c r="N36" s="3">
        <f t="shared" ref="N36" si="9" xml:space="preserve"> N34 / (N34 + P34)</f>
        <v>0.47619047619047616</v>
      </c>
      <c r="O36" s="3"/>
      <c r="P36" s="3"/>
      <c r="Q36" s="3">
        <f t="shared" ref="Q36" si="10" xml:space="preserve"> Q34 / (Q34 + S34)</f>
        <v>0.47619047619047616</v>
      </c>
      <c r="R36" s="3"/>
      <c r="S36" s="3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AE86-AE9F-4DEF-8B25-DD96D9AAFB10}">
  <dimension ref="A1:S5"/>
  <sheetViews>
    <sheetView tabSelected="1" workbookViewId="0">
      <selection activeCell="V9" sqref="V9"/>
    </sheetView>
  </sheetViews>
  <sheetFormatPr defaultRowHeight="15" x14ac:dyDescent="0.25"/>
  <sheetData>
    <row r="1" spans="1:19" x14ac:dyDescent="0.25">
      <c r="B1" s="4" t="s">
        <v>0</v>
      </c>
      <c r="C1" s="4"/>
      <c r="D1" s="4"/>
      <c r="E1" s="4" t="s">
        <v>1</v>
      </c>
      <c r="F1" s="4"/>
      <c r="G1" s="4"/>
      <c r="H1" s="4" t="s">
        <v>2</v>
      </c>
      <c r="I1" s="4"/>
      <c r="J1" s="4"/>
      <c r="K1" s="4" t="s">
        <v>3</v>
      </c>
      <c r="L1" s="4"/>
      <c r="M1" s="4"/>
      <c r="N1" s="4" t="s">
        <v>4</v>
      </c>
      <c r="O1" s="4"/>
      <c r="P1" s="4"/>
      <c r="Q1" s="4" t="s">
        <v>5</v>
      </c>
      <c r="R1" s="4"/>
      <c r="S1" s="4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5">
        <f>SUM('rodada 1'!B34,'rodada 2'!B34,'rodada 3'!B34,'rodada 4'!B34,'rodada 5'!B34,'rodada 6'!B34,'rodada 7'!B34,'rodada 8'!B34,'rodada 9'!B34,'rodada 10'!B34,)</f>
        <v>133</v>
      </c>
      <c r="C3" s="5">
        <f>SUM('rodada 1'!C34,'rodada 2'!C34,'rodada 3'!C34,'rodada 4'!C34,'rodada 5'!C34,'rodada 6'!C34,'rodada 7'!C34,'rodada 8'!C34,'rodada 9'!C34,'rodada 10'!C34,)</f>
        <v>0</v>
      </c>
      <c r="D3" s="5">
        <f>SUM('rodada 1'!D34,'rodada 2'!D34,'rodada 3'!D34,'rodada 4'!D34,'rodada 5'!D34,'rodada 6'!D34,'rodada 7'!D34,'rodada 8'!D34,'rodada 9'!D34,'rodada 10'!D34,)</f>
        <v>357</v>
      </c>
      <c r="E3" s="5">
        <f>SUM('rodada 1'!E34,'rodada 2'!E34,'rodada 3'!E34,'rodada 4'!E34,'rodada 5'!E34,'rodada 6'!E34,'rodada 7'!E34,'rodada 8'!E34,'rodada 9'!E34,'rodada 10'!E34,)</f>
        <v>172</v>
      </c>
      <c r="F3" s="5">
        <f>SUM('rodada 1'!F34,'rodada 2'!F34,'rodada 3'!F34,'rodada 4'!F34,'rodada 5'!F34,'rodada 6'!F34,'rodada 7'!F34,'rodada 8'!F34,'rodada 9'!F34,'rodada 10'!F34,)</f>
        <v>0</v>
      </c>
      <c r="G3" s="5">
        <f>SUM('rodada 1'!G34,'rodada 2'!G34,'rodada 3'!G34,'rodada 4'!G34,'rodada 5'!G34,'rodada 6'!G34,'rodada 7'!G34,'rodada 8'!G34,'rodada 9'!G34,'rodada 10'!G34,)</f>
        <v>517</v>
      </c>
      <c r="H3" s="5">
        <f>SUM('rodada 1'!H34,'rodada 2'!H34,'rodada 3'!H34,'rodada 4'!H34,'rodada 5'!H34,'rodada 6'!H34,'rodada 7'!H34,'rodada 8'!H34,'rodada 9'!H34,'rodada 10'!H34,)</f>
        <v>136</v>
      </c>
      <c r="I3" s="5">
        <f>SUM('rodada 1'!I34,'rodada 2'!I34,'rodada 3'!I34,'rodada 4'!I34,'rodada 5'!I34,'rodada 6'!I34,'rodada 7'!I34,'rodada 8'!I34,'rodada 9'!I34,'rodada 10'!I34,)</f>
        <v>0</v>
      </c>
      <c r="J3" s="5">
        <f>SUM('rodada 1'!J34,'rodada 2'!J34,'rodada 3'!J34,'rodada 4'!J34,'rodada 5'!J34,'rodada 6'!J34,'rodada 7'!J34,'rodada 8'!J34,'rodada 9'!J34,'rodada 10'!J34,)</f>
        <v>97</v>
      </c>
      <c r="K3" s="5">
        <f>SUM('rodada 1'!K34,'rodada 2'!K34,'rodada 3'!K34,'rodada 4'!K34,'rodada 5'!K34,'rodada 6'!K34,'rodada 7'!K34,'rodada 8'!K34,'rodada 9'!K34,'rodada 10'!K34,)</f>
        <v>463</v>
      </c>
      <c r="L3" s="5">
        <f>SUM('rodada 1'!L34,'rodada 2'!L34,'rodada 3'!L34,'rodada 4'!L34,'rodada 5'!L34,'rodada 6'!L34,'rodada 7'!L34,'rodada 8'!L34,'rodada 9'!L34,'rodada 10'!L34,)</f>
        <v>29</v>
      </c>
      <c r="M3" s="5">
        <f>SUM('rodada 1'!M34,'rodada 2'!M34,'rodada 3'!M34,'rodada 4'!M34,'rodada 5'!M34,'rodada 6'!M34,'rodada 7'!M34,'rodada 8'!M34,'rodada 9'!M34,'rodada 10'!M34,)</f>
        <v>30</v>
      </c>
      <c r="N3" s="5">
        <f>SUM('rodada 1'!N34,'rodada 2'!N34,'rodada 3'!N34,'rodada 4'!N34,'rodada 5'!N34,'rodada 6'!N34,'rodada 7'!N34,'rodada 8'!N34,'rodada 9'!N34,'rodada 10'!N34,)</f>
        <v>193</v>
      </c>
      <c r="O3" s="5">
        <f>SUM('rodada 1'!O34,'rodada 2'!O34,'rodada 3'!O34,'rodada 4'!O34,'rodada 5'!O34,'rodada 6'!O34,'rodada 7'!O34,'rodada 8'!O34,'rodada 9'!O34,'rodada 10'!O34,)</f>
        <v>2</v>
      </c>
      <c r="P3" s="5">
        <f>SUM('rodada 1'!P34,'rodada 2'!P34,'rodada 3'!P34,'rodada 4'!P34,'rodada 5'!P34,'rodada 6'!P34,'rodada 7'!P34,'rodada 8'!P34,'rodada 9'!P34,'rodada 10'!P34,)</f>
        <v>59</v>
      </c>
      <c r="Q3" s="5">
        <f>SUM('rodada 1'!Q34,'rodada 2'!Q34,'rodada 3'!Q34,'rodada 4'!Q34,'rodada 5'!Q34,'rodada 6'!Q34,'rodada 7'!Q34,'rodada 8'!Q34,'rodada 9'!Q34,'rodada 10'!Q34,)</f>
        <v>85</v>
      </c>
      <c r="R3" s="5">
        <f>SUM('rodada 1'!R34,'rodada 2'!R34,'rodada 3'!R34,'rodada 4'!R34,'rodada 5'!R34,'rodada 6'!R34,'rodada 7'!R34,'rodada 8'!R34,'rodada 9'!R34,'rodada 10'!R34,)</f>
        <v>0</v>
      </c>
      <c r="S3" s="5">
        <f>SUM('rodada 1'!S34,'rodada 2'!S34,'rodada 3'!S34,'rodada 4'!S34,'rodada 5'!S34,'rodada 6'!S34,'rodada 7'!S34,'rodada 8'!S34,'rodada 9'!S34,'rodada 10'!S34,)</f>
        <v>158</v>
      </c>
    </row>
    <row r="4" spans="1:19" x14ac:dyDescent="0.25">
      <c r="A4" s="1" t="s">
        <v>321</v>
      </c>
      <c r="B4" s="3">
        <f>B3 / (B3 + C3)</f>
        <v>1</v>
      </c>
      <c r="C4" s="3"/>
      <c r="D4" s="3"/>
      <c r="E4" s="3">
        <f t="shared" ref="E4" si="0">E3 / (E3 + F3)</f>
        <v>1</v>
      </c>
      <c r="F4" s="3"/>
      <c r="G4" s="3"/>
      <c r="H4" s="3">
        <f t="shared" ref="H4" si="1">H3 / (H3 + I3)</f>
        <v>1</v>
      </c>
      <c r="I4" s="3"/>
      <c r="J4" s="3"/>
      <c r="K4" s="3">
        <f t="shared" ref="K4" si="2">K3 / (K3 + L3)</f>
        <v>0.94105691056910568</v>
      </c>
      <c r="L4" s="3"/>
      <c r="M4" s="3"/>
      <c r="N4" s="3">
        <f t="shared" ref="N4" si="3">N3 / (N3 + O3)</f>
        <v>0.98974358974358978</v>
      </c>
      <c r="O4" s="3"/>
      <c r="P4" s="3"/>
      <c r="Q4" s="3">
        <f t="shared" ref="Q4" si="4">Q3 / (Q3 + R3)</f>
        <v>1</v>
      </c>
      <c r="R4" s="3"/>
      <c r="S4" s="3"/>
    </row>
    <row r="5" spans="1:19" x14ac:dyDescent="0.25">
      <c r="A5" s="1" t="s">
        <v>322</v>
      </c>
      <c r="B5" s="3">
        <f xml:space="preserve"> B3 / (B3 + D3)</f>
        <v>0.27142857142857141</v>
      </c>
      <c r="C5" s="3"/>
      <c r="D5" s="3"/>
      <c r="E5" s="3">
        <f t="shared" ref="E5" si="5" xml:space="preserve"> E3 / (E3 + G3)</f>
        <v>0.24963715529753266</v>
      </c>
      <c r="F5" s="3"/>
      <c r="G5" s="3"/>
      <c r="H5" s="3">
        <f t="shared" ref="H5" si="6" xml:space="preserve"> H3 / (H3 + J3)</f>
        <v>0.58369098712446355</v>
      </c>
      <c r="I5" s="3"/>
      <c r="J5" s="3"/>
      <c r="K5" s="3">
        <f t="shared" ref="K5" si="7" xml:space="preserve"> K3 / (K3 + M3)</f>
        <v>0.9391480730223124</v>
      </c>
      <c r="L5" s="3"/>
      <c r="M5" s="3"/>
      <c r="N5" s="3">
        <f t="shared" ref="N5" si="8" xml:space="preserve"> N3 / (N3 + P3)</f>
        <v>0.76587301587301593</v>
      </c>
      <c r="O5" s="3"/>
      <c r="P5" s="3"/>
      <c r="Q5" s="3">
        <f t="shared" ref="Q5" si="9" xml:space="preserve"> Q3 / (Q3 + S3)</f>
        <v>0.34979423868312759</v>
      </c>
      <c r="R5" s="3"/>
      <c r="S5" s="3"/>
    </row>
  </sheetData>
  <mergeCells count="18"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5711B-315B-4908-87D0-725C3EF23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rodada 1</vt:lpstr>
      <vt:lpstr>rodada 2</vt:lpstr>
      <vt:lpstr>rodada 3</vt:lpstr>
      <vt:lpstr>rodada 4</vt:lpstr>
      <vt:lpstr>rodada 5</vt:lpstr>
      <vt:lpstr>rodada 6</vt:lpstr>
      <vt:lpstr>rodada 7</vt:lpstr>
      <vt:lpstr>rodada 8</vt:lpstr>
      <vt:lpstr>rodada 9</vt:lpstr>
      <vt:lpstr>rodada 10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2024-11-03T03:34:23Z</dcterms:modified>
</cp:coreProperties>
</file>