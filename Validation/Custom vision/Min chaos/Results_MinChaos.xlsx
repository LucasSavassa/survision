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culdade\TCC\Projeto\survision\Validation\Custom vision\Min chaos\"/>
    </mc:Choice>
  </mc:AlternateContent>
  <xr:revisionPtr revIDLastSave="0" documentId="13_ncr:1_{98FF793D-2B14-4EE6-B495-E0D50EECD298}" xr6:coauthVersionLast="47" xr6:coauthVersionMax="47" xr10:uidLastSave="{00000000-0000-0000-0000-000000000000}"/>
  <bookViews>
    <workbookView xWindow="-120" yWindow="-120" windowWidth="29040" windowHeight="15720" firstSheet="11" activeTab="20" xr2:uid="{488473F3-2F78-4DE6-BFA3-32B6303924AC}"/>
  </bookViews>
  <sheets>
    <sheet name="rodada 1" sheetId="1" r:id="rId1"/>
    <sheet name="rodada 2" sheetId="2" r:id="rId2"/>
    <sheet name="rodada 3" sheetId="3" r:id="rId3"/>
    <sheet name="rodada 4" sheetId="4" r:id="rId4"/>
    <sheet name="rodada 5" sheetId="5" r:id="rId5"/>
    <sheet name="rodada 6" sheetId="6" r:id="rId6"/>
    <sheet name="rodada 7" sheetId="7" r:id="rId7"/>
    <sheet name="rodada 8" sheetId="8" r:id="rId8"/>
    <sheet name="rodada 9" sheetId="9" r:id="rId9"/>
    <sheet name="rodada 10" sheetId="10" r:id="rId10"/>
    <sheet name="rodada 11" sheetId="11" r:id="rId11"/>
    <sheet name="rodada 12" sheetId="12" r:id="rId12"/>
    <sheet name="rodada 13" sheetId="13" r:id="rId13"/>
    <sheet name="rodada 14" sheetId="14" r:id="rId14"/>
    <sheet name="rodada 15" sheetId="15" r:id="rId15"/>
    <sheet name="rodada 16" sheetId="16" r:id="rId16"/>
    <sheet name="rodada 17" sheetId="17" r:id="rId17"/>
    <sheet name="rodada 18" sheetId="18" r:id="rId18"/>
    <sheet name="rodada 19" sheetId="19" r:id="rId19"/>
    <sheet name="rodada 20" sheetId="20" r:id="rId20"/>
    <sheet name="resumo" sheetId="4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1" l="1"/>
  <c r="Q5" i="41" l="1"/>
  <c r="N5" i="41"/>
  <c r="K5" i="41"/>
  <c r="H5" i="41"/>
  <c r="E5" i="41"/>
  <c r="B5" i="41"/>
  <c r="Q4" i="41"/>
  <c r="N4" i="41"/>
  <c r="K4" i="41"/>
  <c r="H4" i="41"/>
  <c r="E4" i="41"/>
  <c r="B4" i="41"/>
  <c r="C3" i="41"/>
  <c r="D3" i="41"/>
  <c r="E3" i="41"/>
  <c r="F3" i="41"/>
  <c r="G3" i="41"/>
  <c r="H3" i="41"/>
  <c r="I3" i="41"/>
  <c r="J3" i="41"/>
  <c r="K3" i="41"/>
  <c r="L3" i="41"/>
  <c r="M3" i="41"/>
  <c r="N3" i="41"/>
  <c r="O3" i="41"/>
  <c r="P3" i="41"/>
  <c r="Q3" i="41"/>
  <c r="R3" i="41"/>
  <c r="S3" i="41"/>
  <c r="C33" i="13"/>
  <c r="D33" i="13"/>
  <c r="E33" i="13"/>
  <c r="F33" i="13"/>
  <c r="G33" i="13"/>
  <c r="H33" i="13"/>
  <c r="H34" i="13" s="1"/>
  <c r="I33" i="13"/>
  <c r="J33" i="13"/>
  <c r="K33" i="13"/>
  <c r="L33" i="13"/>
  <c r="M33" i="13"/>
  <c r="N33" i="13"/>
  <c r="N34" i="13" s="1"/>
  <c r="O33" i="13"/>
  <c r="P33" i="13"/>
  <c r="Q33" i="13"/>
  <c r="Q35" i="13" s="1"/>
  <c r="R33" i="13"/>
  <c r="S33" i="13"/>
  <c r="B33" i="13"/>
  <c r="E36" i="20"/>
  <c r="N35" i="20"/>
  <c r="S34" i="20"/>
  <c r="R34" i="20"/>
  <c r="Q34" i="20"/>
  <c r="Q36" i="20" s="1"/>
  <c r="P34" i="20"/>
  <c r="O34" i="20"/>
  <c r="N34" i="20"/>
  <c r="N36" i="20" s="1"/>
  <c r="M34" i="20"/>
  <c r="L34" i="20"/>
  <c r="K34" i="20"/>
  <c r="K35" i="20" s="1"/>
  <c r="J34" i="20"/>
  <c r="I34" i="20"/>
  <c r="H34" i="20"/>
  <c r="H36" i="20" s="1"/>
  <c r="G34" i="20"/>
  <c r="F34" i="20"/>
  <c r="E34" i="20"/>
  <c r="E35" i="20" s="1"/>
  <c r="D34" i="20"/>
  <c r="C34" i="20"/>
  <c r="B35" i="20" s="1"/>
  <c r="B34" i="20"/>
  <c r="B36" i="20" s="1"/>
  <c r="E36" i="19"/>
  <c r="N35" i="19"/>
  <c r="S34" i="19"/>
  <c r="R34" i="19"/>
  <c r="Q34" i="19"/>
  <c r="Q36" i="19" s="1"/>
  <c r="P34" i="19"/>
  <c r="O34" i="19"/>
  <c r="N34" i="19"/>
  <c r="N36" i="19" s="1"/>
  <c r="M34" i="19"/>
  <c r="L34" i="19"/>
  <c r="K34" i="19"/>
  <c r="K35" i="19" s="1"/>
  <c r="J34" i="19"/>
  <c r="I34" i="19"/>
  <c r="H34" i="19"/>
  <c r="H35" i="19" s="1"/>
  <c r="G34" i="19"/>
  <c r="F34" i="19"/>
  <c r="E34" i="19"/>
  <c r="E35" i="19" s="1"/>
  <c r="D34" i="19"/>
  <c r="C34" i="19"/>
  <c r="B34" i="19"/>
  <c r="B35" i="19" s="1"/>
  <c r="E36" i="18"/>
  <c r="B36" i="18"/>
  <c r="N35" i="18"/>
  <c r="S34" i="18"/>
  <c r="R34" i="18"/>
  <c r="Q34" i="18"/>
  <c r="Q36" i="18" s="1"/>
  <c r="P34" i="18"/>
  <c r="O34" i="18"/>
  <c r="N34" i="18"/>
  <c r="N36" i="18" s="1"/>
  <c r="M34" i="18"/>
  <c r="L34" i="18"/>
  <c r="K34" i="18"/>
  <c r="K35" i="18" s="1"/>
  <c r="J34" i="18"/>
  <c r="I34" i="18"/>
  <c r="H34" i="18"/>
  <c r="H35" i="18" s="1"/>
  <c r="G34" i="18"/>
  <c r="F34" i="18"/>
  <c r="E34" i="18"/>
  <c r="E35" i="18" s="1"/>
  <c r="D34" i="18"/>
  <c r="C34" i="18"/>
  <c r="B34" i="18"/>
  <c r="B35" i="18" s="1"/>
  <c r="N35" i="17"/>
  <c r="S34" i="17"/>
  <c r="R34" i="17"/>
  <c r="Q34" i="17"/>
  <c r="Q36" i="17" s="1"/>
  <c r="P34" i="17"/>
  <c r="O34" i="17"/>
  <c r="N34" i="17"/>
  <c r="N36" i="17" s="1"/>
  <c r="M34" i="17"/>
  <c r="K36" i="17" s="1"/>
  <c r="L34" i="17"/>
  <c r="K34" i="17"/>
  <c r="K35" i="17" s="1"/>
  <c r="J34" i="17"/>
  <c r="I34" i="17"/>
  <c r="H34" i="17"/>
  <c r="H35" i="17" s="1"/>
  <c r="G34" i="17"/>
  <c r="F34" i="17"/>
  <c r="E34" i="17"/>
  <c r="E35" i="17" s="1"/>
  <c r="D34" i="17"/>
  <c r="C34" i="17"/>
  <c r="B34" i="17"/>
  <c r="B35" i="17" s="1"/>
  <c r="E36" i="16"/>
  <c r="N35" i="16"/>
  <c r="S34" i="16"/>
  <c r="R34" i="16"/>
  <c r="Q34" i="16"/>
  <c r="Q36" i="16" s="1"/>
  <c r="P34" i="16"/>
  <c r="O34" i="16"/>
  <c r="N34" i="16"/>
  <c r="N36" i="16" s="1"/>
  <c r="M34" i="16"/>
  <c r="L34" i="16"/>
  <c r="K34" i="16"/>
  <c r="K35" i="16" s="1"/>
  <c r="J34" i="16"/>
  <c r="I34" i="16"/>
  <c r="H34" i="16"/>
  <c r="H35" i="16" s="1"/>
  <c r="G34" i="16"/>
  <c r="F34" i="16"/>
  <c r="E34" i="16"/>
  <c r="E35" i="16" s="1"/>
  <c r="D34" i="16"/>
  <c r="C34" i="16"/>
  <c r="B34" i="16"/>
  <c r="B35" i="16" s="1"/>
  <c r="E36" i="15"/>
  <c r="N35" i="15"/>
  <c r="S34" i="15"/>
  <c r="R34" i="15"/>
  <c r="Q34" i="15"/>
  <c r="Q36" i="15" s="1"/>
  <c r="P34" i="15"/>
  <c r="O34" i="15"/>
  <c r="N34" i="15"/>
  <c r="N36" i="15" s="1"/>
  <c r="M34" i="15"/>
  <c r="L34" i="15"/>
  <c r="K34" i="15"/>
  <c r="K35" i="15" s="1"/>
  <c r="J34" i="15"/>
  <c r="I34" i="15"/>
  <c r="H34" i="15"/>
  <c r="H35" i="15" s="1"/>
  <c r="G34" i="15"/>
  <c r="F34" i="15"/>
  <c r="E34" i="15"/>
  <c r="E35" i="15" s="1"/>
  <c r="D34" i="15"/>
  <c r="C34" i="15"/>
  <c r="B34" i="15"/>
  <c r="B36" i="15" s="1"/>
  <c r="E36" i="14"/>
  <c r="N35" i="14"/>
  <c r="S34" i="14"/>
  <c r="R34" i="14"/>
  <c r="Q34" i="14"/>
  <c r="Q36" i="14" s="1"/>
  <c r="P34" i="14"/>
  <c r="O34" i="14"/>
  <c r="N34" i="14"/>
  <c r="N36" i="14" s="1"/>
  <c r="M34" i="14"/>
  <c r="L34" i="14"/>
  <c r="K34" i="14"/>
  <c r="K35" i="14" s="1"/>
  <c r="J34" i="14"/>
  <c r="I34" i="14"/>
  <c r="H34" i="14"/>
  <c r="H36" i="14" s="1"/>
  <c r="G34" i="14"/>
  <c r="F34" i="14"/>
  <c r="E34" i="14"/>
  <c r="E35" i="14" s="1"/>
  <c r="D34" i="14"/>
  <c r="C34" i="14"/>
  <c r="B34" i="14"/>
  <c r="B35" i="14" s="1"/>
  <c r="E35" i="13"/>
  <c r="K34" i="13"/>
  <c r="E34" i="13"/>
  <c r="B34" i="13"/>
  <c r="E36" i="12"/>
  <c r="H35" i="12"/>
  <c r="S34" i="12"/>
  <c r="R34" i="12"/>
  <c r="Q34" i="12"/>
  <c r="Q36" i="12" s="1"/>
  <c r="P34" i="12"/>
  <c r="O34" i="12"/>
  <c r="N34" i="12"/>
  <c r="N35" i="12" s="1"/>
  <c r="M34" i="12"/>
  <c r="L34" i="12"/>
  <c r="K34" i="12"/>
  <c r="K35" i="12" s="1"/>
  <c r="J34" i="12"/>
  <c r="I34" i="12"/>
  <c r="H34" i="12"/>
  <c r="H36" i="12" s="1"/>
  <c r="G34" i="12"/>
  <c r="F34" i="12"/>
  <c r="E34" i="12"/>
  <c r="E35" i="12" s="1"/>
  <c r="D34" i="12"/>
  <c r="C34" i="12"/>
  <c r="B34" i="12"/>
  <c r="B36" i="12" s="1"/>
  <c r="E36" i="11"/>
  <c r="N35" i="11"/>
  <c r="S34" i="11"/>
  <c r="R34" i="11"/>
  <c r="Q34" i="11"/>
  <c r="Q36" i="11" s="1"/>
  <c r="P34" i="11"/>
  <c r="O34" i="11"/>
  <c r="N34" i="11"/>
  <c r="N36" i="11" s="1"/>
  <c r="M34" i="11"/>
  <c r="L34" i="11"/>
  <c r="K34" i="11"/>
  <c r="K35" i="11" s="1"/>
  <c r="J34" i="11"/>
  <c r="I34" i="11"/>
  <c r="H34" i="11"/>
  <c r="H35" i="11" s="1"/>
  <c r="G34" i="11"/>
  <c r="F34" i="11"/>
  <c r="E34" i="11"/>
  <c r="E35" i="11" s="1"/>
  <c r="D34" i="11"/>
  <c r="C34" i="11"/>
  <c r="B34" i="11"/>
  <c r="B35" i="11" s="1"/>
  <c r="E36" i="10"/>
  <c r="N35" i="10"/>
  <c r="S34" i="10"/>
  <c r="R34" i="10"/>
  <c r="Q34" i="10"/>
  <c r="Q36" i="10" s="1"/>
  <c r="P34" i="10"/>
  <c r="O34" i="10"/>
  <c r="N34" i="10"/>
  <c r="N36" i="10" s="1"/>
  <c r="M34" i="10"/>
  <c r="L34" i="10"/>
  <c r="K34" i="10"/>
  <c r="K35" i="10" s="1"/>
  <c r="J34" i="10"/>
  <c r="I34" i="10"/>
  <c r="H34" i="10"/>
  <c r="H35" i="10" s="1"/>
  <c r="G34" i="10"/>
  <c r="F34" i="10"/>
  <c r="E34" i="10"/>
  <c r="E35" i="10" s="1"/>
  <c r="D34" i="10"/>
  <c r="C34" i="10"/>
  <c r="B34" i="10"/>
  <c r="B35" i="10" s="1"/>
  <c r="E36" i="9"/>
  <c r="N35" i="9"/>
  <c r="S34" i="9"/>
  <c r="R34" i="9"/>
  <c r="Q34" i="9"/>
  <c r="Q36" i="9" s="1"/>
  <c r="P34" i="9"/>
  <c r="O34" i="9"/>
  <c r="N34" i="9"/>
  <c r="N36" i="9" s="1"/>
  <c r="M34" i="9"/>
  <c r="L34" i="9"/>
  <c r="K34" i="9"/>
  <c r="K35" i="9" s="1"/>
  <c r="J34" i="9"/>
  <c r="I34" i="9"/>
  <c r="H34" i="9"/>
  <c r="H35" i="9" s="1"/>
  <c r="G34" i="9"/>
  <c r="F34" i="9"/>
  <c r="E34" i="9"/>
  <c r="E35" i="9" s="1"/>
  <c r="D34" i="9"/>
  <c r="C34" i="9"/>
  <c r="B34" i="9"/>
  <c r="B35" i="9" s="1"/>
  <c r="N35" i="8"/>
  <c r="S34" i="8"/>
  <c r="R34" i="8"/>
  <c r="Q34" i="8"/>
  <c r="Q36" i="8" s="1"/>
  <c r="P34" i="8"/>
  <c r="O34" i="8"/>
  <c r="N34" i="8"/>
  <c r="N36" i="8" s="1"/>
  <c r="M34" i="8"/>
  <c r="L34" i="8"/>
  <c r="K34" i="8"/>
  <c r="K35" i="8" s="1"/>
  <c r="J34" i="8"/>
  <c r="I34" i="8"/>
  <c r="H34" i="8"/>
  <c r="H35" i="8" s="1"/>
  <c r="G34" i="8"/>
  <c r="F34" i="8"/>
  <c r="E34" i="8"/>
  <c r="E35" i="8" s="1"/>
  <c r="D34" i="8"/>
  <c r="C34" i="8"/>
  <c r="B34" i="8"/>
  <c r="B35" i="8" s="1"/>
  <c r="E36" i="7"/>
  <c r="N35" i="7"/>
  <c r="S34" i="7"/>
  <c r="R34" i="7"/>
  <c r="Q34" i="7"/>
  <c r="Q36" i="7" s="1"/>
  <c r="P34" i="7"/>
  <c r="O34" i="7"/>
  <c r="N34" i="7"/>
  <c r="N36" i="7" s="1"/>
  <c r="M34" i="7"/>
  <c r="L34" i="7"/>
  <c r="K34" i="7"/>
  <c r="K35" i="7" s="1"/>
  <c r="J34" i="7"/>
  <c r="I34" i="7"/>
  <c r="H34" i="7"/>
  <c r="H35" i="7" s="1"/>
  <c r="G34" i="7"/>
  <c r="F34" i="7"/>
  <c r="E34" i="7"/>
  <c r="E35" i="7" s="1"/>
  <c r="D34" i="7"/>
  <c r="C34" i="7"/>
  <c r="B35" i="7" s="1"/>
  <c r="B34" i="7"/>
  <c r="B36" i="7" s="1"/>
  <c r="N35" i="6"/>
  <c r="S34" i="6"/>
  <c r="R34" i="6"/>
  <c r="Q34" i="6"/>
  <c r="Q36" i="6" s="1"/>
  <c r="P34" i="6"/>
  <c r="O34" i="6"/>
  <c r="N34" i="6"/>
  <c r="N36" i="6" s="1"/>
  <c r="M34" i="6"/>
  <c r="K36" i="6" s="1"/>
  <c r="L34" i="6"/>
  <c r="K34" i="6"/>
  <c r="K35" i="6" s="1"/>
  <c r="J34" i="6"/>
  <c r="I34" i="6"/>
  <c r="H34" i="6"/>
  <c r="H35" i="6" s="1"/>
  <c r="G34" i="6"/>
  <c r="F34" i="6"/>
  <c r="E34" i="6"/>
  <c r="E35" i="6" s="1"/>
  <c r="D34" i="6"/>
  <c r="C34" i="6"/>
  <c r="B34" i="6"/>
  <c r="B35" i="6" s="1"/>
  <c r="E36" i="5"/>
  <c r="N35" i="5"/>
  <c r="S34" i="5"/>
  <c r="R34" i="5"/>
  <c r="Q34" i="5"/>
  <c r="Q36" i="5" s="1"/>
  <c r="P34" i="5"/>
  <c r="O34" i="5"/>
  <c r="N34" i="5"/>
  <c r="N36" i="5" s="1"/>
  <c r="M34" i="5"/>
  <c r="L34" i="5"/>
  <c r="K34" i="5"/>
  <c r="K35" i="5" s="1"/>
  <c r="J34" i="5"/>
  <c r="I34" i="5"/>
  <c r="H34" i="5"/>
  <c r="H35" i="5" s="1"/>
  <c r="G34" i="5"/>
  <c r="F34" i="5"/>
  <c r="E34" i="5"/>
  <c r="E35" i="5" s="1"/>
  <c r="D34" i="5"/>
  <c r="C34" i="5"/>
  <c r="B34" i="5"/>
  <c r="B35" i="5" s="1"/>
  <c r="N35" i="4"/>
  <c r="S34" i="4"/>
  <c r="R34" i="4"/>
  <c r="Q34" i="4"/>
  <c r="Q36" i="4" s="1"/>
  <c r="P34" i="4"/>
  <c r="O34" i="4"/>
  <c r="N34" i="4"/>
  <c r="N36" i="4" s="1"/>
  <c r="M34" i="4"/>
  <c r="K36" i="4" s="1"/>
  <c r="L34" i="4"/>
  <c r="K34" i="4"/>
  <c r="K35" i="4" s="1"/>
  <c r="J34" i="4"/>
  <c r="I34" i="4"/>
  <c r="H34" i="4"/>
  <c r="H35" i="4" s="1"/>
  <c r="G34" i="4"/>
  <c r="F34" i="4"/>
  <c r="E34" i="4"/>
  <c r="E35" i="4" s="1"/>
  <c r="D34" i="4"/>
  <c r="C34" i="4"/>
  <c r="B34" i="4"/>
  <c r="B35" i="4" s="1"/>
  <c r="N35" i="3"/>
  <c r="S34" i="3"/>
  <c r="R34" i="3"/>
  <c r="Q34" i="3"/>
  <c r="Q36" i="3" s="1"/>
  <c r="P34" i="3"/>
  <c r="O34" i="3"/>
  <c r="N34" i="3"/>
  <c r="N36" i="3" s="1"/>
  <c r="M34" i="3"/>
  <c r="L34" i="3"/>
  <c r="K34" i="3"/>
  <c r="K35" i="3" s="1"/>
  <c r="J34" i="3"/>
  <c r="I34" i="3"/>
  <c r="H34" i="3"/>
  <c r="H35" i="3" s="1"/>
  <c r="G34" i="3"/>
  <c r="F34" i="3"/>
  <c r="E34" i="3"/>
  <c r="E35" i="3" s="1"/>
  <c r="D34" i="3"/>
  <c r="C34" i="3"/>
  <c r="B34" i="3"/>
  <c r="B35" i="3" s="1"/>
  <c r="B36" i="2"/>
  <c r="N35" i="2"/>
  <c r="S34" i="2"/>
  <c r="R34" i="2"/>
  <c r="Q34" i="2"/>
  <c r="Q36" i="2" s="1"/>
  <c r="P34" i="2"/>
  <c r="O34" i="2"/>
  <c r="N34" i="2"/>
  <c r="N36" i="2" s="1"/>
  <c r="M34" i="2"/>
  <c r="L34" i="2"/>
  <c r="K34" i="2"/>
  <c r="K35" i="2" s="1"/>
  <c r="J34" i="2"/>
  <c r="I34" i="2"/>
  <c r="H34" i="2"/>
  <c r="H35" i="2" s="1"/>
  <c r="G34" i="2"/>
  <c r="F34" i="2"/>
  <c r="E34" i="2"/>
  <c r="E35" i="2" s="1"/>
  <c r="D34" i="2"/>
  <c r="C34" i="2"/>
  <c r="B34" i="2"/>
  <c r="B35" i="2" s="1"/>
  <c r="B34" i="1"/>
  <c r="B36" i="1" s="1"/>
  <c r="H36" i="1"/>
  <c r="E36" i="1"/>
  <c r="H35" i="1"/>
  <c r="S34" i="1"/>
  <c r="Q36" i="1" s="1"/>
  <c r="R34" i="1"/>
  <c r="Q34" i="1"/>
  <c r="Q35" i="1" s="1"/>
  <c r="P34" i="1"/>
  <c r="O34" i="1"/>
  <c r="N34" i="1"/>
  <c r="N35" i="1" s="1"/>
  <c r="M34" i="1"/>
  <c r="L34" i="1"/>
  <c r="K34" i="1"/>
  <c r="K35" i="1" s="1"/>
  <c r="J34" i="1"/>
  <c r="I34" i="1"/>
  <c r="H34" i="1"/>
  <c r="G34" i="1"/>
  <c r="F34" i="1"/>
  <c r="E34" i="1"/>
  <c r="E35" i="1" s="1"/>
  <c r="D34" i="1"/>
  <c r="C34" i="1"/>
  <c r="N35" i="13" l="1"/>
  <c r="Q35" i="20"/>
  <c r="K36" i="20"/>
  <c r="H35" i="20"/>
  <c r="Q35" i="19"/>
  <c r="B36" i="19"/>
  <c r="H36" i="19"/>
  <c r="K36" i="19"/>
  <c r="Q35" i="18"/>
  <c r="H36" i="18"/>
  <c r="K36" i="18"/>
  <c r="E36" i="17"/>
  <c r="Q35" i="17"/>
  <c r="B36" i="17"/>
  <c r="H36" i="17"/>
  <c r="Q35" i="16"/>
  <c r="B36" i="16"/>
  <c r="H36" i="16"/>
  <c r="K36" i="16"/>
  <c r="Q35" i="15"/>
  <c r="B35" i="15"/>
  <c r="H36" i="15"/>
  <c r="K36" i="15"/>
  <c r="Q35" i="14"/>
  <c r="B36" i="14"/>
  <c r="K36" i="14"/>
  <c r="H35" i="14"/>
  <c r="Q34" i="13"/>
  <c r="B35" i="13"/>
  <c r="H35" i="13"/>
  <c r="K35" i="13"/>
  <c r="B35" i="12"/>
  <c r="N36" i="12"/>
  <c r="Q35" i="12"/>
  <c r="K36" i="12"/>
  <c r="Q35" i="11"/>
  <c r="H36" i="11"/>
  <c r="K36" i="11"/>
  <c r="B36" i="11"/>
  <c r="H36" i="10"/>
  <c r="B36" i="10"/>
  <c r="K36" i="10"/>
  <c r="Q35" i="10"/>
  <c r="Q35" i="9"/>
  <c r="H36" i="9"/>
  <c r="K36" i="9"/>
  <c r="B36" i="9"/>
  <c r="Q35" i="8"/>
  <c r="B36" i="8"/>
  <c r="E36" i="8"/>
  <c r="H36" i="8"/>
  <c r="K36" i="8"/>
  <c r="Q35" i="7"/>
  <c r="H36" i="7"/>
  <c r="K36" i="7"/>
  <c r="Q35" i="6"/>
  <c r="B36" i="6"/>
  <c r="E36" i="6"/>
  <c r="H36" i="6"/>
  <c r="Q35" i="5"/>
  <c r="B36" i="5"/>
  <c r="H36" i="5"/>
  <c r="K36" i="5"/>
  <c r="E36" i="4"/>
  <c r="Q35" i="4"/>
  <c r="B36" i="4"/>
  <c r="H36" i="4"/>
  <c r="B36" i="3"/>
  <c r="E36" i="3"/>
  <c r="H36" i="3"/>
  <c r="K36" i="3"/>
  <c r="Q35" i="3"/>
  <c r="E36" i="2"/>
  <c r="H36" i="2"/>
  <c r="K36" i="2"/>
  <c r="Q35" i="2"/>
  <c r="B35" i="1"/>
  <c r="K36" i="1"/>
  <c r="N3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3058E0-B8CF-4A5D-8BE0-E697A3651DB6}" keepAlive="1" name="Consulta - Rodada_1" description="Conexão com a consulta 'Rodada_1' na pasta de trabalho." type="5" refreshedVersion="0" background="1">
    <dbPr connection="Provider=Microsoft.Mashup.OleDb.1;Data Source=$Workbook$;Location=Rodada_1;Extended Properties=&quot;&quot;" command="SELECT * FROM [Rodada_1]"/>
  </connection>
  <connection id="2" xr16:uid="{DA0D38AF-7096-4978-9080-941EF2A5B3B5}" keepAlive="1" name="Consulta - Rodada_10" description="Conexão com a consulta 'Rodada_10' na pasta de trabalho." type="5" refreshedVersion="0" background="1">
    <dbPr connection="Provider=Microsoft.Mashup.OleDb.1;Data Source=$Workbook$;Location=Rodada_10;Extended Properties=&quot;&quot;" command="SELECT * FROM [Rodada_10]"/>
  </connection>
  <connection id="3" xr16:uid="{0BEF4736-F58C-4E5F-B019-897CF20A2E15}" keepAlive="1" name="Consulta - Rodada_11" description="Conexão com a consulta 'Rodada_11' na pasta de trabalho." type="5" refreshedVersion="0" background="1">
    <dbPr connection="Provider=Microsoft.Mashup.OleDb.1;Data Source=$Workbook$;Location=Rodada_11;Extended Properties=&quot;&quot;" command="SELECT * FROM [Rodada_11]"/>
  </connection>
  <connection id="4" xr16:uid="{58934840-29E7-401D-B2F1-56E476223DAB}" keepAlive="1" name="Consulta - Rodada_12" description="Conexão com a consulta 'Rodada_12' na pasta de trabalho." type="5" refreshedVersion="0" background="1">
    <dbPr connection="Provider=Microsoft.Mashup.OleDb.1;Data Source=$Workbook$;Location=Rodada_12;Extended Properties=&quot;&quot;" command="SELECT * FROM [Rodada_12]"/>
  </connection>
  <connection id="5" xr16:uid="{B6D92C18-5FA3-4F45-B0B7-710423695AB6}" keepAlive="1" name="Consulta - Rodada_13" description="Conexão com a consulta 'Rodada_13' na pasta de trabalho." type="5" refreshedVersion="0" background="1">
    <dbPr connection="Provider=Microsoft.Mashup.OleDb.1;Data Source=$Workbook$;Location=Rodada_13;Extended Properties=&quot;&quot;" command="SELECT * FROM [Rodada_13]"/>
  </connection>
  <connection id="6" xr16:uid="{31F5EF5E-41B3-480F-AAF7-4D253DEF7105}" keepAlive="1" name="Consulta - Rodada_14" description="Conexão com a consulta 'Rodada_14' na pasta de trabalho." type="5" refreshedVersion="0" background="1">
    <dbPr connection="Provider=Microsoft.Mashup.OleDb.1;Data Source=$Workbook$;Location=Rodada_14;Extended Properties=&quot;&quot;" command="SELECT * FROM [Rodada_14]"/>
  </connection>
  <connection id="7" xr16:uid="{85239794-6FBB-4924-9A44-57F1D2418925}" keepAlive="1" name="Consulta - Rodada_15" description="Conexão com a consulta 'Rodada_15' na pasta de trabalho." type="5" refreshedVersion="0" background="1">
    <dbPr connection="Provider=Microsoft.Mashup.OleDb.1;Data Source=$Workbook$;Location=Rodada_15;Extended Properties=&quot;&quot;" command="SELECT * FROM [Rodada_15]"/>
  </connection>
  <connection id="8" xr16:uid="{E26DB79D-CA4E-4BA0-9A77-96687549D808}" keepAlive="1" name="Consulta - Rodada_16" description="Conexão com a consulta 'Rodada_16' na pasta de trabalho." type="5" refreshedVersion="0" background="1">
    <dbPr connection="Provider=Microsoft.Mashup.OleDb.1;Data Source=$Workbook$;Location=Rodada_16;Extended Properties=&quot;&quot;" command="SELECT * FROM [Rodada_16]"/>
  </connection>
  <connection id="9" xr16:uid="{D2DBFA5D-4F80-46F8-9EC7-845032594DA5}" keepAlive="1" name="Consulta - Rodada_17" description="Conexão com a consulta 'Rodada_17' na pasta de trabalho." type="5" refreshedVersion="0" background="1">
    <dbPr connection="Provider=Microsoft.Mashup.OleDb.1;Data Source=$Workbook$;Location=Rodada_17;Extended Properties=&quot;&quot;" command="SELECT * FROM [Rodada_17]"/>
  </connection>
  <connection id="10" xr16:uid="{CA20028B-4A9D-47E2-94B5-BA60CC8FF70E}" keepAlive="1" name="Consulta - Rodada_18" description="Conexão com a consulta 'Rodada_18' na pasta de trabalho." type="5" refreshedVersion="0" background="1">
    <dbPr connection="Provider=Microsoft.Mashup.OleDb.1;Data Source=$Workbook$;Location=Rodada_18;Extended Properties=&quot;&quot;" command="SELECT * FROM [Rodada_18]"/>
  </connection>
  <connection id="11" xr16:uid="{BC40A5DF-D2E4-4394-BC6B-D832311BC473}" keepAlive="1" name="Consulta - Rodada_19" description="Conexão com a consulta 'Rodada_19' na pasta de trabalho." type="5" refreshedVersion="0" background="1">
    <dbPr connection="Provider=Microsoft.Mashup.OleDb.1;Data Source=$Workbook$;Location=Rodada_19;Extended Properties=&quot;&quot;" command="SELECT * FROM [Rodada_19]"/>
  </connection>
  <connection id="12" xr16:uid="{62381F6D-6CE4-44DA-B747-F92AB1269EE3}" keepAlive="1" name="Consulta - Rodada_2" description="Conexão com a consulta 'Rodada_2' na pasta de trabalho." type="5" refreshedVersion="0" background="1">
    <dbPr connection="Provider=Microsoft.Mashup.OleDb.1;Data Source=$Workbook$;Location=Rodada_2;Extended Properties=&quot;&quot;" command="SELECT * FROM [Rodada_2]"/>
  </connection>
  <connection id="13" xr16:uid="{5419AA0E-B947-48C6-8BD1-23DBE9313F1E}" keepAlive="1" name="Consulta - Rodada_20" description="Conexão com a consulta 'Rodada_20' na pasta de trabalho." type="5" refreshedVersion="0" background="1">
    <dbPr connection="Provider=Microsoft.Mashup.OleDb.1;Data Source=$Workbook$;Location=Rodada_20;Extended Properties=&quot;&quot;" command="SELECT * FROM [Rodada_20]"/>
  </connection>
  <connection id="14" xr16:uid="{C7B03E89-7911-48B6-B1DB-0531F71CB1D6}" keepAlive="1" name="Consulta - Rodada_3" description="Conexão com a consulta 'Rodada_3' na pasta de trabalho." type="5" refreshedVersion="0" background="1">
    <dbPr connection="Provider=Microsoft.Mashup.OleDb.1;Data Source=$Workbook$;Location=Rodada_3;Extended Properties=&quot;&quot;" command="SELECT * FROM [Rodada_3]"/>
  </connection>
  <connection id="15" xr16:uid="{39312CCA-DD18-402C-B702-57A8D7E56B16}" keepAlive="1" name="Consulta - Rodada_4" description="Conexão com a consulta 'Rodada_4' na pasta de trabalho." type="5" refreshedVersion="0" background="1">
    <dbPr connection="Provider=Microsoft.Mashup.OleDb.1;Data Source=$Workbook$;Location=Rodada_4;Extended Properties=&quot;&quot;" command="SELECT * FROM [Rodada_4]"/>
  </connection>
  <connection id="16" xr16:uid="{D01261DB-0434-4E5D-9898-90F4D2229CA9}" keepAlive="1" name="Consulta - Rodada_5" description="Conexão com a consulta 'Rodada_5' na pasta de trabalho." type="5" refreshedVersion="0" background="1">
    <dbPr connection="Provider=Microsoft.Mashup.OleDb.1;Data Source=$Workbook$;Location=Rodada_5;Extended Properties=&quot;&quot;" command="SELECT * FROM [Rodada_5]"/>
  </connection>
  <connection id="17" xr16:uid="{6F0DD464-0D67-43A8-AE18-247DD47A9166}" keepAlive="1" name="Consulta - Rodada_6" description="Conexão com a consulta 'Rodada_6' na pasta de trabalho." type="5" refreshedVersion="0" background="1">
    <dbPr connection="Provider=Microsoft.Mashup.OleDb.1;Data Source=$Workbook$;Location=Rodada_6;Extended Properties=&quot;&quot;" command="SELECT * FROM [Rodada_6]"/>
  </connection>
  <connection id="18" xr16:uid="{43347A3F-C1F1-4388-91D9-DAE11944E1E7}" keepAlive="1" name="Consulta - Rodada_7" description="Conexão com a consulta 'Rodada_7' na pasta de trabalho." type="5" refreshedVersion="0" background="1">
    <dbPr connection="Provider=Microsoft.Mashup.OleDb.1;Data Source=$Workbook$;Location=Rodada_7;Extended Properties=&quot;&quot;" command="SELECT * FROM [Rodada_7]"/>
  </connection>
  <connection id="19" xr16:uid="{0BDE4901-1020-4433-BCC3-A0616F5040CB}" keepAlive="1" name="Consulta - Rodada_8" description="Conexão com a consulta 'Rodada_8' na pasta de trabalho." type="5" refreshedVersion="0" background="1">
    <dbPr connection="Provider=Microsoft.Mashup.OleDb.1;Data Source=$Workbook$;Location=Rodada_8;Extended Properties=&quot;&quot;" command="SELECT * FROM [Rodada_8]"/>
  </connection>
  <connection id="20" xr16:uid="{E2D806F5-EB53-4F63-BA87-43157EFBCB44}" keepAlive="1" name="Consulta - Rodada_9" description="Conexão com a consulta 'Rodada_9' na pasta de trabalho." type="5" refreshedVersion="0" background="1">
    <dbPr connection="Provider=Microsoft.Mashup.OleDb.1;Data Source=$Workbook$;Location=Rodada_9;Extended Properties=&quot;&quot;" command="SELECT * FROM [Rodada_9]"/>
  </connection>
</connections>
</file>

<file path=xl/sharedStrings.xml><?xml version="1.0" encoding="utf-8"?>
<sst xmlns="http://schemas.openxmlformats.org/spreadsheetml/2006/main" count="1205" uniqueCount="632">
  <si>
    <t>Parafusos</t>
  </si>
  <si>
    <t>Arruelas</t>
  </si>
  <si>
    <t>Alfinete</t>
  </si>
  <si>
    <t>Porta Agulhas</t>
  </si>
  <si>
    <t>Allis</t>
  </si>
  <si>
    <t>Anatomica</t>
  </si>
  <si>
    <t>VP</t>
  </si>
  <si>
    <t>FP</t>
  </si>
  <si>
    <t>FN</t>
  </si>
  <si>
    <t>filename</t>
  </si>
  <si>
    <t>Min_Chaos_Rodada_1_Imagem 01</t>
  </si>
  <si>
    <t>Min_Chaos_Rodada_1_Imagem 02</t>
  </si>
  <si>
    <t>Min_Chaos_Rodada_1_Imagem 03</t>
  </si>
  <si>
    <t>Min_Chaos_Rodada_1_Imagem 04</t>
  </si>
  <si>
    <t>Min_Chaos_Rodada_1_Imagem 05</t>
  </si>
  <si>
    <t>Min_Chaos_Rodada_1_Imagem 06</t>
  </si>
  <si>
    <t>Min_Chaos_Rodada_1_Imagem 07</t>
  </si>
  <si>
    <t>Min_Chaos_Rodada_1_Imagem 08</t>
  </si>
  <si>
    <t>Min_Chaos_Rodada_1_Imagem 09</t>
  </si>
  <si>
    <t>Min_Chaos_Rodada_1_Imagem 10</t>
  </si>
  <si>
    <t>Min_Chaos_Rodada_1_Imagem 11</t>
  </si>
  <si>
    <t>Min_Chaos_Rodada_1_Imagem 12</t>
  </si>
  <si>
    <t>Min_Chaos_Rodada_1_Imagem 13</t>
  </si>
  <si>
    <t>Min_Chaos_Rodada_1_Imagem 14</t>
  </si>
  <si>
    <t>Min_Chaos_Rodada_1_Imagem 15</t>
  </si>
  <si>
    <t>Min_Chaos_Rodada_1_Imagem 16</t>
  </si>
  <si>
    <t>Min_Chaos_Rodada_1_Imagem 17</t>
  </si>
  <si>
    <t>Min_Chaos_Rodada_1_Imagem 18</t>
  </si>
  <si>
    <t>Min_Chaos_Rodada_1_Imagem 19</t>
  </si>
  <si>
    <t>Min_Chaos_Rodada_1_Imagem 20</t>
  </si>
  <si>
    <t>Min_Chaos_Rodada_1_Imagem 21</t>
  </si>
  <si>
    <t>Min_Chaos_Rodada_1_Imagem 22</t>
  </si>
  <si>
    <t>Min_Chaos_Rodada_1_Imagem 23</t>
  </si>
  <si>
    <t>Min_Chaos_Rodada_1_Imagem 24</t>
  </si>
  <si>
    <t>Min_Chaos_Rodada_1_Imagem 25</t>
  </si>
  <si>
    <t>Min_Chaos_Rodada_1_Imagem 26</t>
  </si>
  <si>
    <t>Min_Chaos_Rodada_1_Imagem 27</t>
  </si>
  <si>
    <t>Min_Chaos_Rodada_1_Imagem 28</t>
  </si>
  <si>
    <t>Min_Chaos_Rodada_1_Imagem 29</t>
  </si>
  <si>
    <t>Min_Chaos_Rodada_1_Imagem 30</t>
  </si>
  <si>
    <t>Min_Chaos_Rodada_1_Imagem 31</t>
  </si>
  <si>
    <t>Min_Chaos_Rodada_2_Imagem 01</t>
  </si>
  <si>
    <t>Min_Chaos_Rodada_2_Imagem 02</t>
  </si>
  <si>
    <t>Min_Chaos_Rodada_2_Imagem 03</t>
  </si>
  <si>
    <t>Min_Chaos_Rodada_2_Imagem 04</t>
  </si>
  <si>
    <t>Min_Chaos_Rodada_2_Imagem 05</t>
  </si>
  <si>
    <t>Min_Chaos_Rodada_2_Imagem 06</t>
  </si>
  <si>
    <t>Min_Chaos_Rodada_2_Imagem 07</t>
  </si>
  <si>
    <t>Min_Chaos_Rodada_2_Imagem 08</t>
  </si>
  <si>
    <t>Min_Chaos_Rodada_2_Imagem 09</t>
  </si>
  <si>
    <t>Min_Chaos_Rodada_2_Imagem 10</t>
  </si>
  <si>
    <t>Min_Chaos_Rodada_2_Imagem 11</t>
  </si>
  <si>
    <t>Min_Chaos_Rodada_2_Imagem 12</t>
  </si>
  <si>
    <t>Min_Chaos_Rodada_2_Imagem 13</t>
  </si>
  <si>
    <t>Min_Chaos_Rodada_2_Imagem 14</t>
  </si>
  <si>
    <t>Min_Chaos_Rodada_2_Imagem 15</t>
  </si>
  <si>
    <t>Min_Chaos_Rodada_2_Imagem 16</t>
  </si>
  <si>
    <t>Min_Chaos_Rodada_2_Imagem 17</t>
  </si>
  <si>
    <t>Min_Chaos_Rodada_2_Imagem 18</t>
  </si>
  <si>
    <t>Min_Chaos_Rodada_2_Imagem 19</t>
  </si>
  <si>
    <t>Min_Chaos_Rodada_2_Imagem 20</t>
  </si>
  <si>
    <t>Min_Chaos_Rodada_2_Imagem 21</t>
  </si>
  <si>
    <t>Min_Chaos_Rodada_2_Imagem 22</t>
  </si>
  <si>
    <t>Min_Chaos_Rodada_2_Imagem 23</t>
  </si>
  <si>
    <t>Min_Chaos_Rodada_2_Imagem 24</t>
  </si>
  <si>
    <t>Min_Chaos_Rodada_2_Imagem 25</t>
  </si>
  <si>
    <t>Min_Chaos_Rodada_2_Imagem 26</t>
  </si>
  <si>
    <t>Min_Chaos_Rodada_2_Imagem 27</t>
  </si>
  <si>
    <t>Min_Chaos_Rodada_2_Imagem 28</t>
  </si>
  <si>
    <t>Min_Chaos_Rodada_2_Imagem 29</t>
  </si>
  <si>
    <t>Min_Chaos_Rodada_2_Imagem 30</t>
  </si>
  <si>
    <t>Min_Chaos_Rodada_2_Imagem 31</t>
  </si>
  <si>
    <t>Min_Chaos_Rodada_3_Imagem 01</t>
  </si>
  <si>
    <t>Min_Chaos_Rodada_3_Imagem 02</t>
  </si>
  <si>
    <t>Min_Chaos_Rodada_3_Imagem 03</t>
  </si>
  <si>
    <t>Min_Chaos_Rodada_3_Imagem 04</t>
  </si>
  <si>
    <t>Min_Chaos_Rodada_3_Imagem 05</t>
  </si>
  <si>
    <t>Min_Chaos_Rodada_3_Imagem 06</t>
  </si>
  <si>
    <t>Min_Chaos_Rodada_3_Imagem 07</t>
  </si>
  <si>
    <t>Min_Chaos_Rodada_3_Imagem 08</t>
  </si>
  <si>
    <t>Min_Chaos_Rodada_3_Imagem 09</t>
  </si>
  <si>
    <t>Min_Chaos_Rodada_3_Imagem 10</t>
  </si>
  <si>
    <t>Min_Chaos_Rodada_3_Imagem 11</t>
  </si>
  <si>
    <t>Min_Chaos_Rodada_3_Imagem 12</t>
  </si>
  <si>
    <t>Min_Chaos_Rodada_3_Imagem 13</t>
  </si>
  <si>
    <t>Min_Chaos_Rodada_3_Imagem 14</t>
  </si>
  <si>
    <t>Min_Chaos_Rodada_3_Imagem 15</t>
  </si>
  <si>
    <t>Min_Chaos_Rodada_3_Imagem 16</t>
  </si>
  <si>
    <t>Min_Chaos_Rodada_3_Imagem 17</t>
  </si>
  <si>
    <t>Min_Chaos_Rodada_3_Imagem 18</t>
  </si>
  <si>
    <t>Min_Chaos_Rodada_3_Imagem 19</t>
  </si>
  <si>
    <t>Min_Chaos_Rodada_3_Imagem 20</t>
  </si>
  <si>
    <t>Min_Chaos_Rodada_3_Imagem 21</t>
  </si>
  <si>
    <t>Min_Chaos_Rodada_3_Imagem 22</t>
  </si>
  <si>
    <t>Min_Chaos_Rodada_3_Imagem 23</t>
  </si>
  <si>
    <t>Min_Chaos_Rodada_3_Imagem 24</t>
  </si>
  <si>
    <t>Min_Chaos_Rodada_3_Imagem 25</t>
  </si>
  <si>
    <t>Min_Chaos_Rodada_3_Imagem 26</t>
  </si>
  <si>
    <t>Min_Chaos_Rodada_3_Imagem 27</t>
  </si>
  <si>
    <t>Min_Chaos_Rodada_3_Imagem 28</t>
  </si>
  <si>
    <t>Min_Chaos_Rodada_3_Imagem 29</t>
  </si>
  <si>
    <t>Min_Chaos_Rodada_3_Imagem 30</t>
  </si>
  <si>
    <t>Min_Chaos_Rodada_3_Imagem 31</t>
  </si>
  <si>
    <t>Min_Chaos_Rodada_4_Imagem 01</t>
  </si>
  <si>
    <t>Min_Chaos_Rodada_4_Imagem 02</t>
  </si>
  <si>
    <t>Min_Chaos_Rodada_4_Imagem 03</t>
  </si>
  <si>
    <t>Min_Chaos_Rodada_4_Imagem 04</t>
  </si>
  <si>
    <t>Min_Chaos_Rodada_4_Imagem 05</t>
  </si>
  <si>
    <t>Min_Chaos_Rodada_4_Imagem 06</t>
  </si>
  <si>
    <t>Min_Chaos_Rodada_4_Imagem 07</t>
  </si>
  <si>
    <t>Min_Chaos_Rodada_4_Imagem 08</t>
  </si>
  <si>
    <t>Min_Chaos_Rodada_4_Imagem 09</t>
  </si>
  <si>
    <t>Min_Chaos_Rodada_4_Imagem 10</t>
  </si>
  <si>
    <t>Min_Chaos_Rodada_4_Imagem 11</t>
  </si>
  <si>
    <t>Min_Chaos_Rodada_4_Imagem 12</t>
  </si>
  <si>
    <t>Min_Chaos_Rodada_4_Imagem 13</t>
  </si>
  <si>
    <t>Min_Chaos_Rodada_4_Imagem 14</t>
  </si>
  <si>
    <t>Min_Chaos_Rodada_4_Imagem 15</t>
  </si>
  <si>
    <t>Min_Chaos_Rodada_4_Imagem 16</t>
  </si>
  <si>
    <t>Min_Chaos_Rodada_4_Imagem 17</t>
  </si>
  <si>
    <t>Min_Chaos_Rodada_4_Imagem 18</t>
  </si>
  <si>
    <t>Min_Chaos_Rodada_4_Imagem 19</t>
  </si>
  <si>
    <t>Min_Chaos_Rodada_4_Imagem 20</t>
  </si>
  <si>
    <t>Min_Chaos_Rodada_4_Imagem 21</t>
  </si>
  <si>
    <t>Min_Chaos_Rodada_4_Imagem 22</t>
  </si>
  <si>
    <t>Min_Chaos_Rodada_4_Imagem 23</t>
  </si>
  <si>
    <t>Min_Chaos_Rodada_4_Imagem 24</t>
  </si>
  <si>
    <t>Min_Chaos_Rodada_4_Imagem 25</t>
  </si>
  <si>
    <t>Min_Chaos_Rodada_4_Imagem 26</t>
  </si>
  <si>
    <t>Min_Chaos_Rodada_4_Imagem 27</t>
  </si>
  <si>
    <t>Min_Chaos_Rodada_4_Imagem 28</t>
  </si>
  <si>
    <t>Min_Chaos_Rodada_4_Imagem 29</t>
  </si>
  <si>
    <t>Min_Chaos_Rodada_4_Imagem 30</t>
  </si>
  <si>
    <t>Min_Chaos_Rodada_4_Imagem 31</t>
  </si>
  <si>
    <t>Min_Chaos_Rodada_5_Imagem 01</t>
  </si>
  <si>
    <t>Min_Chaos_Rodada_5_Imagem 02</t>
  </si>
  <si>
    <t>Min_Chaos_Rodada_5_Imagem 03</t>
  </si>
  <si>
    <t>Min_Chaos_Rodada_5_Imagem 04</t>
  </si>
  <si>
    <t>Min_Chaos_Rodada_5_Imagem 05</t>
  </si>
  <si>
    <t>Min_Chaos_Rodada_5_Imagem 06</t>
  </si>
  <si>
    <t>Min_Chaos_Rodada_5_Imagem 07</t>
  </si>
  <si>
    <t>Min_Chaos_Rodada_5_Imagem 08</t>
  </si>
  <si>
    <t>Min_Chaos_Rodada_5_Imagem 09</t>
  </si>
  <si>
    <t>Min_Chaos_Rodada_5_Imagem 10</t>
  </si>
  <si>
    <t>Min_Chaos_Rodada_5_Imagem 11</t>
  </si>
  <si>
    <t>Min_Chaos_Rodada_5_Imagem 12</t>
  </si>
  <si>
    <t>Min_Chaos_Rodada_5_Imagem 13</t>
  </si>
  <si>
    <t>Min_Chaos_Rodada_5_Imagem 14</t>
  </si>
  <si>
    <t>Min_Chaos_Rodada_5_Imagem 15</t>
  </si>
  <si>
    <t>Min_Chaos_Rodada_5_Imagem 16</t>
  </si>
  <si>
    <t>Min_Chaos_Rodada_5_Imagem 17</t>
  </si>
  <si>
    <t>Min_Chaos_Rodada_5_Imagem 18</t>
  </si>
  <si>
    <t>Min_Chaos_Rodada_5_Imagem 19</t>
  </si>
  <si>
    <t>Min_Chaos_Rodada_5_Imagem 20</t>
  </si>
  <si>
    <t>Min_Chaos_Rodada_5_Imagem 21</t>
  </si>
  <si>
    <t>Min_Chaos_Rodada_5_Imagem 22</t>
  </si>
  <si>
    <t>Min_Chaos_Rodada_5_Imagem 23</t>
  </si>
  <si>
    <t>Min_Chaos_Rodada_5_Imagem 24</t>
  </si>
  <si>
    <t>Min_Chaos_Rodada_5_Imagem 25</t>
  </si>
  <si>
    <t>Min_Chaos_Rodada_5_Imagem 26</t>
  </si>
  <si>
    <t>Min_Chaos_Rodada_5_Imagem 27</t>
  </si>
  <si>
    <t>Min_Chaos_Rodada_5_Imagem 28</t>
  </si>
  <si>
    <t>Min_Chaos_Rodada_5_Imagem 29</t>
  </si>
  <si>
    <t>Min_Chaos_Rodada_5_Imagem 30</t>
  </si>
  <si>
    <t>Min_Chaos_Rodada_5_Imagem 31</t>
  </si>
  <si>
    <t>Min_Chaos_Rodada_6_Imagem 01</t>
  </si>
  <si>
    <t>Min_Chaos_Rodada_6_Imagem 02</t>
  </si>
  <si>
    <t>Min_Chaos_Rodada_6_Imagem 03</t>
  </si>
  <si>
    <t>Min_Chaos_Rodada_6_Imagem 04</t>
  </si>
  <si>
    <t>Min_Chaos_Rodada_6_Imagem 05</t>
  </si>
  <si>
    <t>Min_Chaos_Rodada_6_Imagem 06</t>
  </si>
  <si>
    <t>Min_Chaos_Rodada_6_Imagem 07</t>
  </si>
  <si>
    <t>Min_Chaos_Rodada_6_Imagem 08</t>
  </si>
  <si>
    <t>Min_Chaos_Rodada_6_Imagem 09</t>
  </si>
  <si>
    <t>Min_Chaos_Rodada_6_Imagem 10</t>
  </si>
  <si>
    <t>Min_Chaos_Rodada_6_Imagem 11</t>
  </si>
  <si>
    <t>Min_Chaos_Rodada_6_Imagem 12</t>
  </si>
  <si>
    <t>Min_Chaos_Rodada_6_Imagem 13</t>
  </si>
  <si>
    <t>Min_Chaos_Rodada_6_Imagem 14</t>
  </si>
  <si>
    <t>Min_Chaos_Rodada_6_Imagem 15</t>
  </si>
  <si>
    <t>Min_Chaos_Rodada_6_Imagem 16</t>
  </si>
  <si>
    <t>Min_Chaos_Rodada_6_Imagem 17</t>
  </si>
  <si>
    <t>Min_Chaos_Rodada_6_Imagem 18</t>
  </si>
  <si>
    <t>Min_Chaos_Rodada_6_Imagem 19</t>
  </si>
  <si>
    <t>Min_Chaos_Rodada_6_Imagem 20</t>
  </si>
  <si>
    <t>Min_Chaos_Rodada_6_Imagem 21</t>
  </si>
  <si>
    <t>Min_Chaos_Rodada_6_Imagem 22</t>
  </si>
  <si>
    <t>Min_Chaos_Rodada_6_Imagem 23</t>
  </si>
  <si>
    <t>Min_Chaos_Rodada_6_Imagem 24</t>
  </si>
  <si>
    <t>Min_Chaos_Rodada_6_Imagem 25</t>
  </si>
  <si>
    <t>Min_Chaos_Rodada_6_Imagem 26</t>
  </si>
  <si>
    <t>Min_Chaos_Rodada_6_Imagem 27</t>
  </si>
  <si>
    <t>Min_Chaos_Rodada_6_Imagem 28</t>
  </si>
  <si>
    <t>Min_Chaos_Rodada_6_Imagem 29</t>
  </si>
  <si>
    <t>Min_Chaos_Rodada_6_Imagem 30</t>
  </si>
  <si>
    <t>Min_Chaos_Rodada_6_Imagem 31</t>
  </si>
  <si>
    <t>Min_Chaos_Rodada_7_Imagem 01</t>
  </si>
  <si>
    <t>Min_Chaos_Rodada_7_Imagem 02</t>
  </si>
  <si>
    <t>Min_Chaos_Rodada_7_Imagem 03</t>
  </si>
  <si>
    <t>Min_Chaos_Rodada_7_Imagem 04</t>
  </si>
  <si>
    <t>Min_Chaos_Rodada_7_Imagem 05</t>
  </si>
  <si>
    <t>Min_Chaos_Rodada_7_Imagem 06</t>
  </si>
  <si>
    <t>Min_Chaos_Rodada_7_Imagem 07</t>
  </si>
  <si>
    <t>Min_Chaos_Rodada_7_Imagem 08</t>
  </si>
  <si>
    <t>Min_Chaos_Rodada_7_Imagem 09</t>
  </si>
  <si>
    <t>Min_Chaos_Rodada_7_Imagem 10</t>
  </si>
  <si>
    <t>Min_Chaos_Rodada_7_Imagem 11</t>
  </si>
  <si>
    <t>Min_Chaos_Rodada_7_Imagem 12</t>
  </si>
  <si>
    <t>Min_Chaos_Rodada_7_Imagem 13</t>
  </si>
  <si>
    <t>Min_Chaos_Rodada_7_Imagem 14</t>
  </si>
  <si>
    <t>Min_Chaos_Rodada_7_Imagem 15</t>
  </si>
  <si>
    <t>Min_Chaos_Rodada_7_Imagem 16</t>
  </si>
  <si>
    <t>Min_Chaos_Rodada_7_Imagem 17</t>
  </si>
  <si>
    <t>Min_Chaos_Rodada_7_Imagem 18</t>
  </si>
  <si>
    <t>Min_Chaos_Rodada_7_Imagem 19</t>
  </si>
  <si>
    <t>Min_Chaos_Rodada_7_Imagem 20</t>
  </si>
  <si>
    <t>Min_Chaos_Rodada_7_Imagem 21</t>
  </si>
  <si>
    <t>Min_Chaos_Rodada_7_Imagem 22</t>
  </si>
  <si>
    <t>Min_Chaos_Rodada_7_Imagem 23</t>
  </si>
  <si>
    <t>Min_Chaos_Rodada_7_Imagem 24</t>
  </si>
  <si>
    <t>Min_Chaos_Rodada_7_Imagem 25</t>
  </si>
  <si>
    <t>Min_Chaos_Rodada_7_Imagem 26</t>
  </si>
  <si>
    <t>Min_Chaos_Rodada_7_Imagem 27</t>
  </si>
  <si>
    <t>Min_Chaos_Rodada_7_Imagem 28</t>
  </si>
  <si>
    <t>Min_Chaos_Rodada_7_Imagem 29</t>
  </si>
  <si>
    <t>Min_Chaos_Rodada_7_Imagem 30</t>
  </si>
  <si>
    <t>Min_Chaos_Rodada_7_Imagem 31</t>
  </si>
  <si>
    <t>Min_Chaos_Rodada_8_Imagem 01</t>
  </si>
  <si>
    <t>Min_Chaos_Rodada_8_Imagem 02</t>
  </si>
  <si>
    <t>Min_Chaos_Rodada_8_Imagem 03</t>
  </si>
  <si>
    <t>Min_Chaos_Rodada_8_Imagem 04</t>
  </si>
  <si>
    <t>Min_Chaos_Rodada_8_Imagem 05</t>
  </si>
  <si>
    <t>Min_Chaos_Rodada_8_Imagem 06</t>
  </si>
  <si>
    <t>Min_Chaos_Rodada_8_Imagem 07</t>
  </si>
  <si>
    <t>Min_Chaos_Rodada_8_Imagem 08</t>
  </si>
  <si>
    <t>Min_Chaos_Rodada_8_Imagem 09</t>
  </si>
  <si>
    <t>Min_Chaos_Rodada_8_Imagem 10</t>
  </si>
  <si>
    <t>Min_Chaos_Rodada_8_Imagem 11</t>
  </si>
  <si>
    <t>Min_Chaos_Rodada_8_Imagem 12</t>
  </si>
  <si>
    <t>Min_Chaos_Rodada_8_Imagem 13</t>
  </si>
  <si>
    <t>Min_Chaos_Rodada_8_Imagem 14</t>
  </si>
  <si>
    <t>Min_Chaos_Rodada_8_Imagem 15</t>
  </si>
  <si>
    <t>Min_Chaos_Rodada_8_Imagem 16</t>
  </si>
  <si>
    <t>Min_Chaos_Rodada_8_Imagem 17</t>
  </si>
  <si>
    <t>Min_Chaos_Rodada_8_Imagem 18</t>
  </si>
  <si>
    <t>Min_Chaos_Rodada_8_Imagem 19</t>
  </si>
  <si>
    <t>Min_Chaos_Rodada_8_Imagem 20</t>
  </si>
  <si>
    <t>Min_Chaos_Rodada_8_Imagem 21</t>
  </si>
  <si>
    <t>Min_Chaos_Rodada_8_Imagem 22</t>
  </si>
  <si>
    <t>Min_Chaos_Rodada_8_Imagem 23</t>
  </si>
  <si>
    <t>Min_Chaos_Rodada_8_Imagem 24</t>
  </si>
  <si>
    <t>Min_Chaos_Rodada_8_Imagem 25</t>
  </si>
  <si>
    <t>Min_Chaos_Rodada_8_Imagem 26</t>
  </si>
  <si>
    <t>Min_Chaos_Rodada_8_Imagem 27</t>
  </si>
  <si>
    <t>Min_Chaos_Rodada_8_Imagem 28</t>
  </si>
  <si>
    <t>Min_Chaos_Rodada_8_Imagem 29</t>
  </si>
  <si>
    <t>Min_Chaos_Rodada_8_Imagem 30</t>
  </si>
  <si>
    <t>Min_Chaos_Rodada_8_Imagem 31</t>
  </si>
  <si>
    <t>Min_Chaos_Rodada_9_Imagem 01</t>
  </si>
  <si>
    <t>Min_Chaos_Rodada_9_Imagem 02</t>
  </si>
  <si>
    <t>Min_Chaos_Rodada_9_Imagem 03</t>
  </si>
  <si>
    <t>Min_Chaos_Rodada_9_Imagem 04</t>
  </si>
  <si>
    <t>Min_Chaos_Rodada_9_Imagem 05</t>
  </si>
  <si>
    <t>Min_Chaos_Rodada_9_Imagem 06</t>
  </si>
  <si>
    <t>Min_Chaos_Rodada_9_Imagem 07</t>
  </si>
  <si>
    <t>Min_Chaos_Rodada_9_Imagem 08</t>
  </si>
  <si>
    <t>Min_Chaos_Rodada_9_Imagem 09</t>
  </si>
  <si>
    <t>Min_Chaos_Rodada_9_Imagem 10</t>
  </si>
  <si>
    <t>Min_Chaos_Rodada_9_Imagem 11</t>
  </si>
  <si>
    <t>Min_Chaos_Rodada_9_Imagem 12</t>
  </si>
  <si>
    <t>Min_Chaos_Rodada_9_Imagem 13</t>
  </si>
  <si>
    <t>Min_Chaos_Rodada_9_Imagem 14</t>
  </si>
  <si>
    <t>Min_Chaos_Rodada_9_Imagem 15</t>
  </si>
  <si>
    <t>Min_Chaos_Rodada_9_Imagem 16</t>
  </si>
  <si>
    <t>Min_Chaos_Rodada_9_Imagem 17</t>
  </si>
  <si>
    <t>Min_Chaos_Rodada_9_Imagem 18</t>
  </si>
  <si>
    <t>Min_Chaos_Rodada_9_Imagem 19</t>
  </si>
  <si>
    <t>Min_Chaos_Rodada_9_Imagem 20</t>
  </si>
  <si>
    <t>Min_Chaos_Rodada_9_Imagem 21</t>
  </si>
  <si>
    <t>Min_Chaos_Rodada_9_Imagem 22</t>
  </si>
  <si>
    <t>Min_Chaos_Rodada_9_Imagem 23</t>
  </si>
  <si>
    <t>Min_Chaos_Rodada_9_Imagem 24</t>
  </si>
  <si>
    <t>Min_Chaos_Rodada_9_Imagem 25</t>
  </si>
  <si>
    <t>Min_Chaos_Rodada_9_Imagem 26</t>
  </si>
  <si>
    <t>Min_Chaos_Rodada_9_Imagem 27</t>
  </si>
  <si>
    <t>Min_Chaos_Rodada_9_Imagem 28</t>
  </si>
  <si>
    <t>Min_Chaos_Rodada_9_Imagem 29</t>
  </si>
  <si>
    <t>Min_Chaos_Rodada_9_Imagem 30</t>
  </si>
  <si>
    <t>Min_Chaos_Rodada_9_Imagem 31</t>
  </si>
  <si>
    <t>Min_Chaos_Rodada_10_Imagem 01</t>
  </si>
  <si>
    <t>Min_Chaos_Rodada_10_Imagem 02</t>
  </si>
  <si>
    <t>Min_Chaos_Rodada_10_Imagem 03</t>
  </si>
  <si>
    <t>Min_Chaos_Rodada_10_Imagem 04</t>
  </si>
  <si>
    <t>Min_Chaos_Rodada_10_Imagem 05</t>
  </si>
  <si>
    <t>Min_Chaos_Rodada_10_Imagem 06</t>
  </si>
  <si>
    <t>Min_Chaos_Rodada_10_Imagem 07</t>
  </si>
  <si>
    <t>Min_Chaos_Rodada_10_Imagem 08</t>
  </si>
  <si>
    <t>Min_Chaos_Rodada_10_Imagem 09</t>
  </si>
  <si>
    <t>Min_Chaos_Rodada_10_Imagem 10</t>
  </si>
  <si>
    <t>Min_Chaos_Rodada_10_Imagem 11</t>
  </si>
  <si>
    <t>Min_Chaos_Rodada_10_Imagem 12</t>
  </si>
  <si>
    <t>Min_Chaos_Rodada_10_Imagem 13</t>
  </si>
  <si>
    <t>Min_Chaos_Rodada_10_Imagem 14</t>
  </si>
  <si>
    <t>Min_Chaos_Rodada_10_Imagem 15</t>
  </si>
  <si>
    <t>Min_Chaos_Rodada_10_Imagem 16</t>
  </si>
  <si>
    <t>Min_Chaos_Rodada_10_Imagem 17</t>
  </si>
  <si>
    <t>Min_Chaos_Rodada_10_Imagem 18</t>
  </si>
  <si>
    <t>Min_Chaos_Rodada_10_Imagem 19</t>
  </si>
  <si>
    <t>Min_Chaos_Rodada_10_Imagem 20</t>
  </si>
  <si>
    <t>Min_Chaos_Rodada_10_Imagem 21</t>
  </si>
  <si>
    <t>Min_Chaos_Rodada_10_Imagem 22</t>
  </si>
  <si>
    <t>Min_Chaos_Rodada_10_Imagem 23</t>
  </si>
  <si>
    <t>Min_Chaos_Rodada_10_Imagem 24</t>
  </si>
  <si>
    <t>Min_Chaos_Rodada_10_Imagem 25</t>
  </si>
  <si>
    <t>Min_Chaos_Rodada_10_Imagem 26</t>
  </si>
  <si>
    <t>Min_Chaos_Rodada_10_Imagem 27</t>
  </si>
  <si>
    <t>Min_Chaos_Rodada_10_Imagem 28</t>
  </si>
  <si>
    <t>Min_Chaos_Rodada_10_Imagem 29</t>
  </si>
  <si>
    <t>Min_Chaos_Rodada_10_Imagem 30</t>
  </si>
  <si>
    <t>Min_Chaos_Rodada_10_Imagem 31</t>
  </si>
  <si>
    <t>Min_Chaos_Rodada_11_Imagem 01</t>
  </si>
  <si>
    <t>Min_Chaos_Rodada_11_Imagem 02</t>
  </si>
  <si>
    <t>Min_Chaos_Rodada_11_Imagem 03</t>
  </si>
  <si>
    <t>Min_Chaos_Rodada_11_Imagem 04</t>
  </si>
  <si>
    <t>Min_Chaos_Rodada_11_Imagem 05</t>
  </si>
  <si>
    <t>Min_Chaos_Rodada_11_Imagem 06</t>
  </si>
  <si>
    <t>Min_Chaos_Rodada_11_Imagem 07</t>
  </si>
  <si>
    <t>Min_Chaos_Rodada_11_Imagem 08</t>
  </si>
  <si>
    <t>Min_Chaos_Rodada_11_Imagem 09</t>
  </si>
  <si>
    <t>Min_Chaos_Rodada_11_Imagem 10</t>
  </si>
  <si>
    <t>Min_Chaos_Rodada_11_Imagem 11</t>
  </si>
  <si>
    <t>Min_Chaos_Rodada_11_Imagem 12</t>
  </si>
  <si>
    <t>Min_Chaos_Rodada_11_Imagem 13</t>
  </si>
  <si>
    <t>Min_Chaos_Rodada_11_Imagem 14</t>
  </si>
  <si>
    <t>Min_Chaos_Rodada_11_Imagem 15</t>
  </si>
  <si>
    <t>Min_Chaos_Rodada_11_Imagem 16</t>
  </si>
  <si>
    <t>Min_Chaos_Rodada_11_Imagem 17</t>
  </si>
  <si>
    <t>Min_Chaos_Rodada_11_Imagem 18</t>
  </si>
  <si>
    <t>Min_Chaos_Rodada_11_Imagem 19</t>
  </si>
  <si>
    <t>Min_Chaos_Rodada_11_Imagem 20</t>
  </si>
  <si>
    <t>Min_Chaos_Rodada_11_Imagem 21</t>
  </si>
  <si>
    <t>Min_Chaos_Rodada_11_Imagem 22</t>
  </si>
  <si>
    <t>Min_Chaos_Rodada_11_Imagem 23</t>
  </si>
  <si>
    <t>Min_Chaos_Rodada_11_Imagem 24</t>
  </si>
  <si>
    <t>Min_Chaos_Rodada_11_Imagem 25</t>
  </si>
  <si>
    <t>Min_Chaos_Rodada_11_Imagem 26</t>
  </si>
  <si>
    <t>Min_Chaos_Rodada_11_Imagem 27</t>
  </si>
  <si>
    <t>Min_Chaos_Rodada_11_Imagem 28</t>
  </si>
  <si>
    <t>Min_Chaos_Rodada_11_Imagem 29</t>
  </si>
  <si>
    <t>Min_Chaos_Rodada_11_Imagem 30</t>
  </si>
  <si>
    <t>Min_Chaos_Rodada_11_Imagem 31</t>
  </si>
  <si>
    <t>Min_Chaos_Rodada_12_Imagem 01</t>
  </si>
  <si>
    <t>Min_Chaos_Rodada_12_Imagem 02</t>
  </si>
  <si>
    <t>Min_Chaos_Rodada_12_Imagem 03</t>
  </si>
  <si>
    <t>Min_Chaos_Rodada_12_Imagem 04</t>
  </si>
  <si>
    <t>Min_Chaos_Rodada_12_Imagem 05</t>
  </si>
  <si>
    <t>Min_Chaos_Rodada_12_Imagem 06</t>
  </si>
  <si>
    <t>Min_Chaos_Rodada_12_Imagem 07</t>
  </si>
  <si>
    <t>Min_Chaos_Rodada_12_Imagem 08</t>
  </si>
  <si>
    <t>Min_Chaos_Rodada_12_Imagem 09</t>
  </si>
  <si>
    <t>Min_Chaos_Rodada_12_Imagem 10</t>
  </si>
  <si>
    <t>Min_Chaos_Rodada_12_Imagem 11</t>
  </si>
  <si>
    <t>Min_Chaos_Rodada_12_Imagem 12</t>
  </si>
  <si>
    <t>Min_Chaos_Rodada_12_Imagem 13</t>
  </si>
  <si>
    <t>Min_Chaos_Rodada_12_Imagem 14</t>
  </si>
  <si>
    <t>Min_Chaos_Rodada_12_Imagem 15</t>
  </si>
  <si>
    <t>Min_Chaos_Rodada_12_Imagem 16</t>
  </si>
  <si>
    <t>Min_Chaos_Rodada_12_Imagem 17</t>
  </si>
  <si>
    <t>Min_Chaos_Rodada_12_Imagem 18</t>
  </si>
  <si>
    <t>Min_Chaos_Rodada_12_Imagem 19</t>
  </si>
  <si>
    <t>Min_Chaos_Rodada_12_Imagem 20</t>
  </si>
  <si>
    <t>Min_Chaos_Rodada_12_Imagem 21</t>
  </si>
  <si>
    <t>Min_Chaos_Rodada_12_Imagem 22</t>
  </si>
  <si>
    <t>Min_Chaos_Rodada_12_Imagem 23</t>
  </si>
  <si>
    <t>Min_Chaos_Rodada_12_Imagem 24</t>
  </si>
  <si>
    <t>Min_Chaos_Rodada_12_Imagem 25</t>
  </si>
  <si>
    <t>Min_Chaos_Rodada_12_Imagem 26</t>
  </si>
  <si>
    <t>Min_Chaos_Rodada_12_Imagem 27</t>
  </si>
  <si>
    <t>Min_Chaos_Rodada_12_Imagem 28</t>
  </si>
  <si>
    <t>Min_Chaos_Rodada_12_Imagem 29</t>
  </si>
  <si>
    <t>Min_Chaos_Rodada_12_Imagem 30</t>
  </si>
  <si>
    <t>Min_Chaos_Rodada_12_Imagem 31</t>
  </si>
  <si>
    <t>Min_Chaos_Rodada_13_Imagem 01</t>
  </si>
  <si>
    <t>Min_Chaos_Rodada_13_Imagem 02</t>
  </si>
  <si>
    <t>Min_Chaos_Rodada_13_Imagem 03</t>
  </si>
  <si>
    <t>Min_Chaos_Rodada_13_Imagem 04</t>
  </si>
  <si>
    <t>Min_Chaos_Rodada_13_Imagem 05</t>
  </si>
  <si>
    <t>Min_Chaos_Rodada_13_Imagem 06</t>
  </si>
  <si>
    <t>Min_Chaos_Rodada_13_Imagem 07</t>
  </si>
  <si>
    <t>Min_Chaos_Rodada_13_Imagem 08</t>
  </si>
  <si>
    <t>Min_Chaos_Rodada_13_Imagem 09</t>
  </si>
  <si>
    <t>Min_Chaos_Rodada_13_Imagem 10</t>
  </si>
  <si>
    <t>Min_Chaos_Rodada_13_Imagem 11</t>
  </si>
  <si>
    <t>Min_Chaos_Rodada_13_Imagem 12</t>
  </si>
  <si>
    <t>Min_Chaos_Rodada_13_Imagem 13</t>
  </si>
  <si>
    <t>Min_Chaos_Rodada_13_Imagem 14</t>
  </si>
  <si>
    <t>Min_Chaos_Rodada_13_Imagem 15</t>
  </si>
  <si>
    <t>Min_Chaos_Rodada_13_Imagem 16</t>
  </si>
  <si>
    <t>Min_Chaos_Rodada_13_Imagem 17</t>
  </si>
  <si>
    <t>Min_Chaos_Rodada_13_Imagem 18</t>
  </si>
  <si>
    <t>Min_Chaos_Rodada_13_Imagem 19</t>
  </si>
  <si>
    <t>Min_Chaos_Rodada_13_Imagem 20</t>
  </si>
  <si>
    <t>Min_Chaos_Rodada_13_Imagem 21</t>
  </si>
  <si>
    <t>Min_Chaos_Rodada_13_Imagem 22</t>
  </si>
  <si>
    <t>Min_Chaos_Rodada_13_Imagem 23</t>
  </si>
  <si>
    <t>Min_Chaos_Rodada_13_Imagem 24</t>
  </si>
  <si>
    <t>Min_Chaos_Rodada_13_Imagem 25</t>
  </si>
  <si>
    <t>Min_Chaos_Rodada_13_Imagem 26</t>
  </si>
  <si>
    <t>Min_Chaos_Rodada_13_Imagem 27</t>
  </si>
  <si>
    <t>Min_Chaos_Rodada_13_Imagem 28</t>
  </si>
  <si>
    <t>Min_Chaos_Rodada_13_Imagem 29</t>
  </si>
  <si>
    <t>Min_Chaos_Rodada_13_Imagem 30</t>
  </si>
  <si>
    <t>Min_Chaos_Rodada_14_Imagem 01</t>
  </si>
  <si>
    <t>Min_Chaos_Rodada_14_Imagem 02</t>
  </si>
  <si>
    <t>Min_Chaos_Rodada_14_Imagem 03</t>
  </si>
  <si>
    <t>Min_Chaos_Rodada_14_Imagem 04</t>
  </si>
  <si>
    <t>Min_Chaos_Rodada_14_Imagem 05</t>
  </si>
  <si>
    <t>Min_Chaos_Rodada_14_Imagem 06</t>
  </si>
  <si>
    <t>Min_Chaos_Rodada_14_Imagem 07</t>
  </si>
  <si>
    <t>Min_Chaos_Rodada_14_Imagem 08</t>
  </si>
  <si>
    <t>Min_Chaos_Rodada_14_Imagem 09</t>
  </si>
  <si>
    <t>Min_Chaos_Rodada_14_Imagem 10</t>
  </si>
  <si>
    <t>Min_Chaos_Rodada_14_Imagem 11</t>
  </si>
  <si>
    <t>Min_Chaos_Rodada_14_Imagem 12</t>
  </si>
  <si>
    <t>Min_Chaos_Rodada_14_Imagem 13</t>
  </si>
  <si>
    <t>Min_Chaos_Rodada_14_Imagem 14</t>
  </si>
  <si>
    <t>Min_Chaos_Rodada_14_Imagem 15</t>
  </si>
  <si>
    <t>Min_Chaos_Rodada_14_Imagem 16</t>
  </si>
  <si>
    <t>Min_Chaos_Rodada_14_Imagem 17</t>
  </si>
  <si>
    <t>Min_Chaos_Rodada_14_Imagem 18</t>
  </si>
  <si>
    <t>Min_Chaos_Rodada_14_Imagem 19</t>
  </si>
  <si>
    <t>Min_Chaos_Rodada_14_Imagem 20</t>
  </si>
  <si>
    <t>Min_Chaos_Rodada_14_Imagem 21</t>
  </si>
  <si>
    <t>Min_Chaos_Rodada_14_Imagem 22</t>
  </si>
  <si>
    <t>Min_Chaos_Rodada_14_Imagem 23</t>
  </si>
  <si>
    <t>Min_Chaos_Rodada_14_Imagem 24</t>
  </si>
  <si>
    <t>Min_Chaos_Rodada_14_Imagem 25</t>
  </si>
  <si>
    <t>Min_Chaos_Rodada_14_Imagem 26</t>
  </si>
  <si>
    <t>Min_Chaos_Rodada_14_Imagem 27</t>
  </si>
  <si>
    <t>Min_Chaos_Rodada_14_Imagem 28</t>
  </si>
  <si>
    <t>Min_Chaos_Rodada_14_Imagem 29</t>
  </si>
  <si>
    <t>Min_Chaos_Rodada_14_Imagem 30</t>
  </si>
  <si>
    <t>Min_Chaos_Rodada_14_Imagem 31</t>
  </si>
  <si>
    <t>Min_Chaos_Rodada_15_Imagem 01</t>
  </si>
  <si>
    <t>Min_Chaos_Rodada_15_Imagem 02</t>
  </si>
  <si>
    <t>Min_Chaos_Rodada_15_Imagem 03</t>
  </si>
  <si>
    <t>Min_Chaos_Rodada_15_Imagem 04</t>
  </si>
  <si>
    <t>Min_Chaos_Rodada_15_Imagem 05</t>
  </si>
  <si>
    <t>Min_Chaos_Rodada_15_Imagem 06</t>
  </si>
  <si>
    <t>Min_Chaos_Rodada_15_Imagem 07</t>
  </si>
  <si>
    <t>Min_Chaos_Rodada_15_Imagem 08</t>
  </si>
  <si>
    <t>Min_Chaos_Rodada_15_Imagem 09</t>
  </si>
  <si>
    <t>Min_Chaos_Rodada_15_Imagem 10</t>
  </si>
  <si>
    <t>Min_Chaos_Rodada_15_Imagem 11</t>
  </si>
  <si>
    <t>Min_Chaos_Rodada_15_Imagem 12</t>
  </si>
  <si>
    <t>Min_Chaos_Rodada_15_Imagem 13</t>
  </si>
  <si>
    <t>Min_Chaos_Rodada_15_Imagem 14</t>
  </si>
  <si>
    <t>Min_Chaos_Rodada_15_Imagem 15</t>
  </si>
  <si>
    <t>Min_Chaos_Rodada_15_Imagem 16</t>
  </si>
  <si>
    <t>Min_Chaos_Rodada_15_Imagem 17</t>
  </si>
  <si>
    <t>Min_Chaos_Rodada_15_Imagem 18</t>
  </si>
  <si>
    <t>Min_Chaos_Rodada_15_Imagem 19</t>
  </si>
  <si>
    <t>Min_Chaos_Rodada_15_Imagem 20</t>
  </si>
  <si>
    <t>Min_Chaos_Rodada_15_Imagem 21</t>
  </si>
  <si>
    <t>Min_Chaos_Rodada_15_Imagem 22</t>
  </si>
  <si>
    <t>Min_Chaos_Rodada_15_Imagem 23</t>
  </si>
  <si>
    <t>Min_Chaos_Rodada_15_Imagem 24</t>
  </si>
  <si>
    <t>Min_Chaos_Rodada_15_Imagem 25</t>
  </si>
  <si>
    <t>Min_Chaos_Rodada_15_Imagem 26</t>
  </si>
  <si>
    <t>Min_Chaos_Rodada_15_Imagem 27</t>
  </si>
  <si>
    <t>Min_Chaos_Rodada_15_Imagem 28</t>
  </si>
  <si>
    <t>Min_Chaos_Rodada_15_Imagem 29</t>
  </si>
  <si>
    <t>Min_Chaos_Rodada_15_Imagem 30</t>
  </si>
  <si>
    <t>Min_Chaos_Rodada_15_Imagem 31</t>
  </si>
  <si>
    <t>Min_Chaos_Rodada_16_Imagem 01</t>
  </si>
  <si>
    <t>Min_Chaos_Rodada_16_Imagem 02</t>
  </si>
  <si>
    <t>Min_Chaos_Rodada_16_Imagem 03</t>
  </si>
  <si>
    <t>Min_Chaos_Rodada_16_Imagem 04</t>
  </si>
  <si>
    <t>Min_Chaos_Rodada_16_Imagem 05</t>
  </si>
  <si>
    <t>Min_Chaos_Rodada_16_Imagem 06</t>
  </si>
  <si>
    <t>Min_Chaos_Rodada_16_Imagem 07</t>
  </si>
  <si>
    <t>Min_Chaos_Rodada_16_Imagem 08</t>
  </si>
  <si>
    <t>Min_Chaos_Rodada_16_Imagem 09</t>
  </si>
  <si>
    <t>Min_Chaos_Rodada_16_Imagem 10</t>
  </si>
  <si>
    <t>Min_Chaos_Rodada_16_Imagem 11</t>
  </si>
  <si>
    <t>Min_Chaos_Rodada_16_Imagem 12</t>
  </si>
  <si>
    <t>Min_Chaos_Rodada_16_Imagem 13</t>
  </si>
  <si>
    <t>Min_Chaos_Rodada_16_Imagem 14</t>
  </si>
  <si>
    <t>Min_Chaos_Rodada_16_Imagem 15</t>
  </si>
  <si>
    <t>Min_Chaos_Rodada_16_Imagem 16</t>
  </si>
  <si>
    <t>Min_Chaos_Rodada_16_Imagem 17</t>
  </si>
  <si>
    <t>Min_Chaos_Rodada_16_Imagem 18</t>
  </si>
  <si>
    <t>Min_Chaos_Rodada_16_Imagem 19</t>
  </si>
  <si>
    <t>Min_Chaos_Rodada_16_Imagem 20</t>
  </si>
  <si>
    <t>Min_Chaos_Rodada_16_Imagem 21</t>
  </si>
  <si>
    <t>Min_Chaos_Rodada_16_Imagem 22</t>
  </si>
  <si>
    <t>Min_Chaos_Rodada_16_Imagem 23</t>
  </si>
  <si>
    <t>Min_Chaos_Rodada_16_Imagem 24</t>
  </si>
  <si>
    <t>Min_Chaos_Rodada_16_Imagem 25</t>
  </si>
  <si>
    <t>Min_Chaos_Rodada_16_Imagem 26</t>
  </si>
  <si>
    <t>Min_Chaos_Rodada_16_Imagem 27</t>
  </si>
  <si>
    <t>Min_Chaos_Rodada_16_Imagem 28</t>
  </si>
  <si>
    <t>Min_Chaos_Rodada_16_Imagem 29</t>
  </si>
  <si>
    <t>Min_Chaos_Rodada_16_Imagem 30</t>
  </si>
  <si>
    <t>Min_Chaos_Rodada_16_Imagem 31</t>
  </si>
  <si>
    <t>Min_Chaos_Rodada_17_Imagem 01</t>
  </si>
  <si>
    <t>Min_Chaos_Rodada_17_Imagem 02</t>
  </si>
  <si>
    <t>Min_Chaos_Rodada_17_Imagem 03</t>
  </si>
  <si>
    <t>Min_Chaos_Rodada_17_Imagem 04</t>
  </si>
  <si>
    <t>Min_Chaos_Rodada_17_Imagem 05</t>
  </si>
  <si>
    <t>Min_Chaos_Rodada_17_Imagem 06</t>
  </si>
  <si>
    <t>Min_Chaos_Rodada_17_Imagem 07</t>
  </si>
  <si>
    <t>Min_Chaos_Rodada_17_Imagem 08</t>
  </si>
  <si>
    <t>Min_Chaos_Rodada_17_Imagem 09</t>
  </si>
  <si>
    <t>Min_Chaos_Rodada_17_Imagem 10</t>
  </si>
  <si>
    <t>Min_Chaos_Rodada_17_Imagem 11</t>
  </si>
  <si>
    <t>Min_Chaos_Rodada_17_Imagem 12</t>
  </si>
  <si>
    <t>Min_Chaos_Rodada_17_Imagem 13</t>
  </si>
  <si>
    <t>Min_Chaos_Rodada_17_Imagem 14</t>
  </si>
  <si>
    <t>Min_Chaos_Rodada_17_Imagem 15</t>
  </si>
  <si>
    <t>Min_Chaos_Rodada_17_Imagem 16</t>
  </si>
  <si>
    <t>Min_Chaos_Rodada_17_Imagem 17</t>
  </si>
  <si>
    <t>Min_Chaos_Rodada_17_Imagem 18</t>
  </si>
  <si>
    <t>Min_Chaos_Rodada_17_Imagem 19</t>
  </si>
  <si>
    <t>Min_Chaos_Rodada_17_Imagem 20</t>
  </si>
  <si>
    <t>Min_Chaos_Rodada_17_Imagem 21</t>
  </si>
  <si>
    <t>Min_Chaos_Rodada_17_Imagem 22</t>
  </si>
  <si>
    <t>Min_Chaos_Rodada_17_Imagem 23</t>
  </si>
  <si>
    <t>Min_Chaos_Rodada_17_Imagem 24</t>
  </si>
  <si>
    <t>Min_Chaos_Rodada_17_Imagem 25</t>
  </si>
  <si>
    <t>Min_Chaos_Rodada_17_Imagem 26</t>
  </si>
  <si>
    <t>Min_Chaos_Rodada_17_Imagem 27</t>
  </si>
  <si>
    <t>Min_Chaos_Rodada_17_Imagem 28</t>
  </si>
  <si>
    <t>Min_Chaos_Rodada_17_Imagem 29</t>
  </si>
  <si>
    <t>Min_Chaos_Rodada_17_Imagem 30</t>
  </si>
  <si>
    <t>Min_Chaos_Rodada_17_Imagem 31</t>
  </si>
  <si>
    <t>Min_Chaos_Rodada_18_Imagem 01</t>
  </si>
  <si>
    <t>Min_Chaos_Rodada_18_Imagem 02</t>
  </si>
  <si>
    <t>Min_Chaos_Rodada_18_Imagem 03</t>
  </si>
  <si>
    <t>Min_Chaos_Rodada_18_Imagem 04</t>
  </si>
  <si>
    <t>Min_Chaos_Rodada_18_Imagem 05</t>
  </si>
  <si>
    <t>Min_Chaos_Rodada_18_Imagem 06</t>
  </si>
  <si>
    <t>Min_Chaos_Rodada_18_Imagem 07</t>
  </si>
  <si>
    <t>Min_Chaos_Rodada_18_Imagem 08</t>
  </si>
  <si>
    <t>Min_Chaos_Rodada_18_Imagem 09</t>
  </si>
  <si>
    <t>Min_Chaos_Rodada_18_Imagem 10</t>
  </si>
  <si>
    <t>Min_Chaos_Rodada_18_Imagem 11</t>
  </si>
  <si>
    <t>Min_Chaos_Rodada_18_Imagem 12</t>
  </si>
  <si>
    <t>Min_Chaos_Rodada_18_Imagem 13</t>
  </si>
  <si>
    <t>Min_Chaos_Rodada_18_Imagem 14</t>
  </si>
  <si>
    <t>Min_Chaos_Rodada_18_Imagem 15</t>
  </si>
  <si>
    <t>Min_Chaos_Rodada_18_Imagem 16</t>
  </si>
  <si>
    <t>Min_Chaos_Rodada_18_Imagem 17</t>
  </si>
  <si>
    <t>Min_Chaos_Rodada_18_Imagem 18</t>
  </si>
  <si>
    <t>Min_Chaos_Rodada_18_Imagem 19</t>
  </si>
  <si>
    <t>Min_Chaos_Rodada_18_Imagem 20</t>
  </si>
  <si>
    <t>Min_Chaos_Rodada_18_Imagem 21</t>
  </si>
  <si>
    <t>Min_Chaos_Rodada_18_Imagem 22</t>
  </si>
  <si>
    <t>Min_Chaos_Rodada_18_Imagem 23</t>
  </si>
  <si>
    <t>Min_Chaos_Rodada_18_Imagem 24</t>
  </si>
  <si>
    <t>Min_Chaos_Rodada_18_Imagem 25</t>
  </si>
  <si>
    <t>Min_Chaos_Rodada_18_Imagem 26</t>
  </si>
  <si>
    <t>Min_Chaos_Rodada_18_Imagem 27</t>
  </si>
  <si>
    <t>Min_Chaos_Rodada_18_Imagem 28</t>
  </si>
  <si>
    <t>Min_Chaos_Rodada_18_Imagem 29</t>
  </si>
  <si>
    <t>Min_Chaos_Rodada_18_Imagem 30</t>
  </si>
  <si>
    <t>Min_Chaos_Rodada_18_Imagem 31</t>
  </si>
  <si>
    <t>Min_Chaos_Rodada_19_Imagem 01</t>
  </si>
  <si>
    <t>Min_Chaos_Rodada_19_Imagem 02</t>
  </si>
  <si>
    <t>Min_Chaos_Rodada_19_Imagem 03</t>
  </si>
  <si>
    <t>Min_Chaos_Rodada_19_Imagem 04</t>
  </si>
  <si>
    <t>Min_Chaos_Rodada_19_Imagem 05</t>
  </si>
  <si>
    <t>Min_Chaos_Rodada_19_Imagem 06</t>
  </si>
  <si>
    <t>Min_Chaos_Rodada_19_Imagem 07</t>
  </si>
  <si>
    <t>Min_Chaos_Rodada_19_Imagem 08</t>
  </si>
  <si>
    <t>Min_Chaos_Rodada_19_Imagem 09</t>
  </si>
  <si>
    <t>Min_Chaos_Rodada_19_Imagem 10</t>
  </si>
  <si>
    <t>Min_Chaos_Rodada_19_Imagem 11</t>
  </si>
  <si>
    <t>Min_Chaos_Rodada_19_Imagem 12</t>
  </si>
  <si>
    <t>Min_Chaos_Rodada_19_Imagem 13</t>
  </si>
  <si>
    <t>Min_Chaos_Rodada_19_Imagem 14</t>
  </si>
  <si>
    <t>Min_Chaos_Rodada_19_Imagem 15</t>
  </si>
  <si>
    <t>Min_Chaos_Rodada_19_Imagem 16</t>
  </si>
  <si>
    <t>Min_Chaos_Rodada_19_Imagem 17</t>
  </si>
  <si>
    <t>Min_Chaos_Rodada_19_Imagem 18</t>
  </si>
  <si>
    <t>Min_Chaos_Rodada_19_Imagem 19</t>
  </si>
  <si>
    <t>Min_Chaos_Rodada_19_Imagem 20</t>
  </si>
  <si>
    <t>Min_Chaos_Rodada_19_Imagem 21</t>
  </si>
  <si>
    <t>Min_Chaos_Rodada_19_Imagem 22</t>
  </si>
  <si>
    <t>Min_Chaos_Rodada_19_Imagem 23</t>
  </si>
  <si>
    <t>Min_Chaos_Rodada_19_Imagem 24</t>
  </si>
  <si>
    <t>Min_Chaos_Rodada_19_Imagem 25</t>
  </si>
  <si>
    <t>Min_Chaos_Rodada_19_Imagem 26</t>
  </si>
  <si>
    <t>Min_Chaos_Rodada_19_Imagem 27</t>
  </si>
  <si>
    <t>Min_Chaos_Rodada_19_Imagem 28</t>
  </si>
  <si>
    <t>Min_Chaos_Rodada_19_Imagem 29</t>
  </si>
  <si>
    <t>Min_Chaos_Rodada_19_Imagem 30</t>
  </si>
  <si>
    <t>Min_Chaos_Rodada_19_Imagem 31</t>
  </si>
  <si>
    <t>Min_Chaos_Rodada_20_Imagem 01</t>
  </si>
  <si>
    <t>Min_Chaos_Rodada_20_Imagem 02</t>
  </si>
  <si>
    <t>Min_Chaos_Rodada_20_Imagem 03</t>
  </si>
  <si>
    <t>Min_Chaos_Rodada_20_Imagem 04</t>
  </si>
  <si>
    <t>Min_Chaos_Rodada_20_Imagem 05</t>
  </si>
  <si>
    <t>Min_Chaos_Rodada_20_Imagem 06</t>
  </si>
  <si>
    <t>Min_Chaos_Rodada_20_Imagem 07</t>
  </si>
  <si>
    <t>Min_Chaos_Rodada_20_Imagem 08</t>
  </si>
  <si>
    <t>Min_Chaos_Rodada_20_Imagem 09</t>
  </si>
  <si>
    <t>Min_Chaos_Rodada_20_Imagem 10</t>
  </si>
  <si>
    <t>Min_Chaos_Rodada_20_Imagem 11</t>
  </si>
  <si>
    <t>Min_Chaos_Rodada_20_Imagem 12</t>
  </si>
  <si>
    <t>Min_Chaos_Rodada_20_Imagem 13</t>
  </si>
  <si>
    <t>Min_Chaos_Rodada_20_Imagem 14</t>
  </si>
  <si>
    <t>Min_Chaos_Rodada_20_Imagem 15</t>
  </si>
  <si>
    <t>Min_Chaos_Rodada_20_Imagem 16</t>
  </si>
  <si>
    <t>Min_Chaos_Rodada_20_Imagem 17</t>
  </si>
  <si>
    <t>Min_Chaos_Rodada_20_Imagem 18</t>
  </si>
  <si>
    <t>Min_Chaos_Rodada_20_Imagem 19</t>
  </si>
  <si>
    <t>Min_Chaos_Rodada_20_Imagem 20</t>
  </si>
  <si>
    <t>Min_Chaos_Rodada_20_Imagem 21</t>
  </si>
  <si>
    <t>Min_Chaos_Rodada_20_Imagem 22</t>
  </si>
  <si>
    <t>Min_Chaos_Rodada_20_Imagem 23</t>
  </si>
  <si>
    <t>Min_Chaos_Rodada_20_Imagem 24</t>
  </si>
  <si>
    <t>Min_Chaos_Rodada_20_Imagem 25</t>
  </si>
  <si>
    <t>Min_Chaos_Rodada_20_Imagem 26</t>
  </si>
  <si>
    <t>Min_Chaos_Rodada_20_Imagem 27</t>
  </si>
  <si>
    <t>Min_Chaos_Rodada_20_Imagem 28</t>
  </si>
  <si>
    <t>Min_Chaos_Rodada_20_Imagem 29</t>
  </si>
  <si>
    <t>Min_Chaos_Rodada_20_Imagem 30</t>
  </si>
  <si>
    <t>Min_Chaos_Rodada_20_Imagem 31</t>
  </si>
  <si>
    <t>Total:</t>
  </si>
  <si>
    <t>Precisão:</t>
  </si>
  <si>
    <t>Acurácia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</si>
</sst>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Alignment="1">
      <alignment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5DFC-299A-4227-A661-49BB5AF4ACAA}">
  <dimension ref="A1:S36"/>
  <sheetViews>
    <sheetView topLeftCell="A10" workbookViewId="0">
      <selection activeCell="A34" sqref="A34:S36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10</v>
      </c>
      <c r="B3">
        <v>1</v>
      </c>
      <c r="C3">
        <v>0</v>
      </c>
      <c r="D3">
        <v>4</v>
      </c>
      <c r="E3">
        <v>0</v>
      </c>
      <c r="F3">
        <v>0</v>
      </c>
      <c r="G3">
        <v>5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25">
      <c r="A4" t="s">
        <v>11</v>
      </c>
      <c r="B4">
        <v>1</v>
      </c>
      <c r="C4">
        <v>0</v>
      </c>
      <c r="D4">
        <v>3</v>
      </c>
      <c r="E4">
        <v>0</v>
      </c>
      <c r="F4">
        <v>0</v>
      </c>
      <c r="G4">
        <v>5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</row>
    <row r="5" spans="1:19" x14ac:dyDescent="0.25">
      <c r="A5" t="s">
        <v>12</v>
      </c>
      <c r="B5">
        <v>1</v>
      </c>
      <c r="C5">
        <v>0</v>
      </c>
      <c r="D5">
        <v>2</v>
      </c>
      <c r="E5">
        <v>0</v>
      </c>
      <c r="F5">
        <v>0</v>
      </c>
      <c r="G5">
        <v>5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</row>
    <row r="6" spans="1:19" x14ac:dyDescent="0.25">
      <c r="A6" t="s">
        <v>13</v>
      </c>
      <c r="B6">
        <v>2</v>
      </c>
      <c r="C6">
        <v>0</v>
      </c>
      <c r="D6">
        <v>0</v>
      </c>
      <c r="E6">
        <v>0</v>
      </c>
      <c r="F6">
        <v>0</v>
      </c>
      <c r="G6">
        <v>5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</row>
    <row r="7" spans="1:19" x14ac:dyDescent="0.25">
      <c r="A7" t="s">
        <v>14</v>
      </c>
      <c r="B7">
        <v>1</v>
      </c>
      <c r="C7">
        <v>0</v>
      </c>
      <c r="D7">
        <v>0</v>
      </c>
      <c r="E7">
        <v>0</v>
      </c>
      <c r="F7">
        <v>0</v>
      </c>
      <c r="G7">
        <v>5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</row>
    <row r="8" spans="1:19" x14ac:dyDescent="0.25">
      <c r="A8" t="s">
        <v>15</v>
      </c>
      <c r="B8">
        <v>0</v>
      </c>
      <c r="C8">
        <v>0</v>
      </c>
      <c r="D8">
        <v>0</v>
      </c>
      <c r="E8">
        <v>1</v>
      </c>
      <c r="F8">
        <v>0</v>
      </c>
      <c r="G8">
        <v>4</v>
      </c>
      <c r="H8">
        <v>0</v>
      </c>
      <c r="I8">
        <v>0</v>
      </c>
      <c r="J8">
        <v>1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</row>
    <row r="9" spans="1:19" x14ac:dyDescent="0.25">
      <c r="A9" t="s">
        <v>16</v>
      </c>
      <c r="B9">
        <v>0</v>
      </c>
      <c r="C9">
        <v>0</v>
      </c>
      <c r="D9">
        <v>0</v>
      </c>
      <c r="E9">
        <v>2</v>
      </c>
      <c r="F9">
        <v>0</v>
      </c>
      <c r="G9">
        <v>2</v>
      </c>
      <c r="H9">
        <v>0</v>
      </c>
      <c r="I9">
        <v>0</v>
      </c>
      <c r="J9">
        <v>1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</row>
    <row r="10" spans="1:19" x14ac:dyDescent="0.25">
      <c r="A10" t="s">
        <v>17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0</v>
      </c>
      <c r="I10">
        <v>0</v>
      </c>
      <c r="J10">
        <v>1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</row>
    <row r="11" spans="1:19" x14ac:dyDescent="0.25">
      <c r="A1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0</v>
      </c>
      <c r="I11">
        <v>0</v>
      </c>
      <c r="J11">
        <v>1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 x14ac:dyDescent="0.25">
      <c r="A12" t="s">
        <v>19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19" x14ac:dyDescent="0.25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 x14ac:dyDescent="0.25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25">
      <c r="A16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26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27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28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</row>
    <row r="22" spans="1:19" x14ac:dyDescent="0.25">
      <c r="A22" t="s">
        <v>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1</v>
      </c>
    </row>
    <row r="23" spans="1:19" x14ac:dyDescent="0.25">
      <c r="A23" t="s">
        <v>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 t="s">
        <v>31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2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</row>
    <row r="25" spans="1:19" x14ac:dyDescent="0.25">
      <c r="A25" t="s">
        <v>32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1</v>
      </c>
      <c r="I25">
        <v>0</v>
      </c>
      <c r="J25">
        <v>0</v>
      </c>
      <c r="K25">
        <v>2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</row>
    <row r="26" spans="1:19" x14ac:dyDescent="0.25">
      <c r="A26" t="s">
        <v>33</v>
      </c>
      <c r="B26">
        <v>0</v>
      </c>
      <c r="C26">
        <v>0</v>
      </c>
      <c r="D26">
        <v>0</v>
      </c>
      <c r="E26">
        <v>1</v>
      </c>
      <c r="F26">
        <v>0</v>
      </c>
      <c r="G26">
        <v>2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34</v>
      </c>
      <c r="B27">
        <v>0</v>
      </c>
      <c r="C27">
        <v>0</v>
      </c>
      <c r="D27">
        <v>0</v>
      </c>
      <c r="E27">
        <v>1</v>
      </c>
      <c r="F27">
        <v>0</v>
      </c>
      <c r="G27">
        <v>3</v>
      </c>
      <c r="H27">
        <v>1</v>
      </c>
      <c r="I27">
        <v>0</v>
      </c>
      <c r="J27">
        <v>0</v>
      </c>
      <c r="K27">
        <v>2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</row>
    <row r="28" spans="1:19" x14ac:dyDescent="0.25">
      <c r="A28" t="s">
        <v>35</v>
      </c>
      <c r="B28">
        <v>0</v>
      </c>
      <c r="C28">
        <v>0</v>
      </c>
      <c r="D28">
        <v>0</v>
      </c>
      <c r="E28">
        <v>1</v>
      </c>
      <c r="F28">
        <v>0</v>
      </c>
      <c r="G28">
        <v>4</v>
      </c>
      <c r="H28">
        <v>1</v>
      </c>
      <c r="I28">
        <v>0</v>
      </c>
      <c r="J28">
        <v>0</v>
      </c>
      <c r="K28">
        <v>2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</row>
    <row r="29" spans="1:19" x14ac:dyDescent="0.25">
      <c r="A29" t="s">
        <v>36</v>
      </c>
      <c r="B29">
        <v>0</v>
      </c>
      <c r="C29">
        <v>0</v>
      </c>
      <c r="D29">
        <v>1</v>
      </c>
      <c r="E29">
        <v>0</v>
      </c>
      <c r="F29">
        <v>0</v>
      </c>
      <c r="G29">
        <v>5</v>
      </c>
      <c r="H29">
        <v>1</v>
      </c>
      <c r="I29">
        <v>0</v>
      </c>
      <c r="J29">
        <v>0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 x14ac:dyDescent="0.25">
      <c r="A30" t="s">
        <v>37</v>
      </c>
      <c r="B30">
        <v>1</v>
      </c>
      <c r="C30">
        <v>0</v>
      </c>
      <c r="D30">
        <v>1</v>
      </c>
      <c r="E30">
        <v>0</v>
      </c>
      <c r="F30">
        <v>0</v>
      </c>
      <c r="G30">
        <v>5</v>
      </c>
      <c r="H30">
        <v>1</v>
      </c>
      <c r="I30">
        <v>0</v>
      </c>
      <c r="J30">
        <v>0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</row>
    <row r="31" spans="1:19" x14ac:dyDescent="0.25">
      <c r="A31" t="s">
        <v>38</v>
      </c>
      <c r="B31">
        <v>1</v>
      </c>
      <c r="C31">
        <v>0</v>
      </c>
      <c r="D31">
        <v>2</v>
      </c>
      <c r="E31">
        <v>0</v>
      </c>
      <c r="F31">
        <v>0</v>
      </c>
      <c r="G31">
        <v>5</v>
      </c>
      <c r="H31">
        <v>1</v>
      </c>
      <c r="I31">
        <v>0</v>
      </c>
      <c r="J31">
        <v>0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x14ac:dyDescent="0.25">
      <c r="A32" t="s">
        <v>39</v>
      </c>
      <c r="B32">
        <v>1</v>
      </c>
      <c r="C32">
        <v>0</v>
      </c>
      <c r="D32">
        <v>3</v>
      </c>
      <c r="E32">
        <v>0</v>
      </c>
      <c r="F32">
        <v>0</v>
      </c>
      <c r="G32">
        <v>5</v>
      </c>
      <c r="H32">
        <v>1</v>
      </c>
      <c r="I32">
        <v>0</v>
      </c>
      <c r="J32">
        <v>0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</row>
    <row r="33" spans="1:19" x14ac:dyDescent="0.25">
      <c r="A33" t="s">
        <v>40</v>
      </c>
      <c r="B33">
        <v>1</v>
      </c>
      <c r="C33">
        <v>0</v>
      </c>
      <c r="D33">
        <v>4</v>
      </c>
      <c r="E33">
        <v>0</v>
      </c>
      <c r="F33">
        <v>0</v>
      </c>
      <c r="G33">
        <v>5</v>
      </c>
      <c r="H33">
        <v>1</v>
      </c>
      <c r="I33">
        <v>0</v>
      </c>
      <c r="J33">
        <v>0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</row>
    <row r="34" spans="1:19" x14ac:dyDescent="0.25">
      <c r="A34" s="1" t="s">
        <v>629</v>
      </c>
      <c r="B34" s="1">
        <f>SUM(B3:B33)</f>
        <v>10</v>
      </c>
      <c r="C34" s="1">
        <f t="shared" ref="C34:S34" si="0">SUM(C3:C33)</f>
        <v>0</v>
      </c>
      <c r="D34" s="1">
        <f t="shared" si="0"/>
        <v>20</v>
      </c>
      <c r="E34" s="1">
        <f t="shared" si="0"/>
        <v>8</v>
      </c>
      <c r="F34" s="1">
        <f t="shared" si="0"/>
        <v>0</v>
      </c>
      <c r="G34" s="1">
        <f t="shared" si="0"/>
        <v>72</v>
      </c>
      <c r="H34" s="1">
        <f t="shared" si="0"/>
        <v>11</v>
      </c>
      <c r="I34" s="1">
        <f t="shared" si="0"/>
        <v>0</v>
      </c>
      <c r="J34" s="1">
        <f t="shared" si="0"/>
        <v>11</v>
      </c>
      <c r="K34" s="1">
        <f t="shared" si="0"/>
        <v>50</v>
      </c>
      <c r="L34" s="1">
        <f t="shared" si="0"/>
        <v>5</v>
      </c>
      <c r="M34" s="1">
        <f t="shared" si="0"/>
        <v>0</v>
      </c>
      <c r="N34" s="1">
        <f t="shared" si="0"/>
        <v>22</v>
      </c>
      <c r="O34" s="1">
        <f t="shared" si="0"/>
        <v>1</v>
      </c>
      <c r="P34" s="1">
        <f t="shared" si="0"/>
        <v>6</v>
      </c>
      <c r="Q34" s="1">
        <f t="shared" si="0"/>
        <v>2</v>
      </c>
      <c r="R34" s="1">
        <f t="shared" si="0"/>
        <v>0</v>
      </c>
      <c r="S34" s="1">
        <f t="shared" si="0"/>
        <v>28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0.90909090909090906</v>
      </c>
      <c r="L35" s="4"/>
      <c r="M35" s="4"/>
      <c r="N35" s="4">
        <f t="shared" ref="N35" si="4">N34 / (N34 + O34)</f>
        <v>0.95652173913043481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0.33333333333333331</v>
      </c>
      <c r="C36" s="4"/>
      <c r="D36" s="4"/>
      <c r="E36" s="4">
        <f t="shared" ref="E36" si="6" xml:space="preserve"> E34 / (E34 + G34)</f>
        <v>0.1</v>
      </c>
      <c r="F36" s="4"/>
      <c r="G36" s="4"/>
      <c r="H36" s="4">
        <f t="shared" ref="H36" si="7" xml:space="preserve"> H34 / (H34 + J34)</f>
        <v>0.5</v>
      </c>
      <c r="I36" s="4"/>
      <c r="J36" s="4"/>
      <c r="K36" s="4">
        <f t="shared" ref="K36" si="8" xml:space="preserve"> K34 / (K34 + M34)</f>
        <v>1</v>
      </c>
      <c r="L36" s="4"/>
      <c r="M36" s="4"/>
      <c r="N36" s="4">
        <f t="shared" ref="N36" si="9" xml:space="preserve"> N34 / (N34 + P34)</f>
        <v>0.7857142857142857</v>
      </c>
      <c r="O36" s="4"/>
      <c r="P36" s="4"/>
      <c r="Q36" s="4">
        <f t="shared" ref="Q36" si="10" xml:space="preserve"> Q34 / (Q34 + S34)</f>
        <v>6.6666666666666666E-2</v>
      </c>
      <c r="R36" s="4"/>
      <c r="S36" s="4"/>
    </row>
  </sheetData>
  <mergeCells count="18">
    <mergeCell ref="Q36:S36"/>
    <mergeCell ref="B36:D36"/>
    <mergeCell ref="E36:G36"/>
    <mergeCell ref="H36:J36"/>
    <mergeCell ref="K36:M36"/>
    <mergeCell ref="N36:P36"/>
    <mergeCell ref="Q1:S1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F736-B90D-457E-B30C-6F3292D98BED}">
  <dimension ref="A1:S36"/>
  <sheetViews>
    <sheetView workbookViewId="0">
      <selection activeCell="A34" sqref="A34:S36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41</v>
      </c>
      <c r="B3">
        <v>1</v>
      </c>
      <c r="C3">
        <v>0</v>
      </c>
      <c r="D3">
        <v>4</v>
      </c>
      <c r="E3">
        <v>0</v>
      </c>
      <c r="F3">
        <v>0</v>
      </c>
      <c r="G3">
        <v>5</v>
      </c>
      <c r="H3">
        <v>1</v>
      </c>
      <c r="I3">
        <v>0</v>
      </c>
      <c r="J3">
        <v>0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25">
      <c r="A4" t="s">
        <v>42</v>
      </c>
      <c r="B4">
        <v>0</v>
      </c>
      <c r="C4">
        <v>0</v>
      </c>
      <c r="D4">
        <v>4</v>
      </c>
      <c r="E4">
        <v>0</v>
      </c>
      <c r="F4">
        <v>0</v>
      </c>
      <c r="G4">
        <v>5</v>
      </c>
      <c r="H4">
        <v>1</v>
      </c>
      <c r="I4">
        <v>0</v>
      </c>
      <c r="J4">
        <v>0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</row>
    <row r="5" spans="1:19" x14ac:dyDescent="0.25">
      <c r="A5" t="s">
        <v>43</v>
      </c>
      <c r="B5">
        <v>0</v>
      </c>
      <c r="C5">
        <v>0</v>
      </c>
      <c r="D5">
        <v>3</v>
      </c>
      <c r="E5">
        <v>0</v>
      </c>
      <c r="F5">
        <v>0</v>
      </c>
      <c r="G5">
        <v>5</v>
      </c>
      <c r="H5">
        <v>1</v>
      </c>
      <c r="I5">
        <v>0</v>
      </c>
      <c r="J5">
        <v>0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</row>
    <row r="6" spans="1:19" x14ac:dyDescent="0.25">
      <c r="A6" t="s">
        <v>44</v>
      </c>
      <c r="B6">
        <v>1</v>
      </c>
      <c r="C6">
        <v>0</v>
      </c>
      <c r="D6">
        <v>1</v>
      </c>
      <c r="E6">
        <v>0</v>
      </c>
      <c r="F6">
        <v>0</v>
      </c>
      <c r="G6">
        <v>5</v>
      </c>
      <c r="H6">
        <v>1</v>
      </c>
      <c r="I6">
        <v>0</v>
      </c>
      <c r="J6">
        <v>0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</row>
    <row r="7" spans="1:19" x14ac:dyDescent="0.25">
      <c r="A7" t="s">
        <v>45</v>
      </c>
      <c r="B7">
        <v>0</v>
      </c>
      <c r="C7">
        <v>0</v>
      </c>
      <c r="D7">
        <v>1</v>
      </c>
      <c r="E7">
        <v>0</v>
      </c>
      <c r="F7">
        <v>0</v>
      </c>
      <c r="G7">
        <v>5</v>
      </c>
      <c r="H7">
        <v>1</v>
      </c>
      <c r="I7">
        <v>0</v>
      </c>
      <c r="J7">
        <v>0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</row>
    <row r="8" spans="1:19" x14ac:dyDescent="0.25">
      <c r="A8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5</v>
      </c>
      <c r="H8">
        <v>1</v>
      </c>
      <c r="I8">
        <v>0</v>
      </c>
      <c r="J8">
        <v>0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</row>
    <row r="9" spans="1:19" x14ac:dyDescent="0.25">
      <c r="A9" t="s">
        <v>47</v>
      </c>
      <c r="B9">
        <v>0</v>
      </c>
      <c r="C9">
        <v>0</v>
      </c>
      <c r="D9">
        <v>0</v>
      </c>
      <c r="E9">
        <v>0</v>
      </c>
      <c r="F9">
        <v>0</v>
      </c>
      <c r="G9">
        <v>4</v>
      </c>
      <c r="H9">
        <v>1</v>
      </c>
      <c r="I9">
        <v>0</v>
      </c>
      <c r="J9">
        <v>0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</row>
    <row r="10" spans="1:19" x14ac:dyDescent="0.25">
      <c r="A10" t="s">
        <v>48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1</v>
      </c>
      <c r="I10">
        <v>0</v>
      </c>
      <c r="J10">
        <v>0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</row>
    <row r="11" spans="1:19" x14ac:dyDescent="0.25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1</v>
      </c>
      <c r="I11">
        <v>0</v>
      </c>
      <c r="J11">
        <v>0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 x14ac:dyDescent="0.25">
      <c r="A12" t="s">
        <v>50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19" x14ac:dyDescent="0.25">
      <c r="A13" t="s">
        <v>51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 x14ac:dyDescent="0.25">
      <c r="A14" t="s">
        <v>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53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</row>
    <row r="16" spans="1:19" x14ac:dyDescent="0.25">
      <c r="A16" t="s">
        <v>54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56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57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58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59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</row>
    <row r="22" spans="1:19" x14ac:dyDescent="0.25">
      <c r="A22" t="s">
        <v>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</row>
    <row r="23" spans="1:19" x14ac:dyDescent="0.25">
      <c r="A23" t="s">
        <v>61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 t="s">
        <v>62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 x14ac:dyDescent="0.25">
      <c r="A25" t="s">
        <v>63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x14ac:dyDescent="0.25">
      <c r="A26" t="s">
        <v>64</v>
      </c>
      <c r="B26">
        <v>0</v>
      </c>
      <c r="C26">
        <v>0</v>
      </c>
      <c r="D26">
        <v>0</v>
      </c>
      <c r="E26">
        <v>2</v>
      </c>
      <c r="F26">
        <v>0</v>
      </c>
      <c r="G26">
        <v>1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65</v>
      </c>
      <c r="B27">
        <v>0</v>
      </c>
      <c r="C27">
        <v>0</v>
      </c>
      <c r="D27">
        <v>0</v>
      </c>
      <c r="E27">
        <v>1</v>
      </c>
      <c r="F27">
        <v>0</v>
      </c>
      <c r="G27">
        <v>3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 x14ac:dyDescent="0.25">
      <c r="A28" t="s">
        <v>66</v>
      </c>
      <c r="B28">
        <v>0</v>
      </c>
      <c r="C28">
        <v>0</v>
      </c>
      <c r="D28">
        <v>0</v>
      </c>
      <c r="E28">
        <v>1</v>
      </c>
      <c r="F28">
        <v>0</v>
      </c>
      <c r="G28">
        <v>4</v>
      </c>
      <c r="H28">
        <v>1</v>
      </c>
      <c r="I28">
        <v>0</v>
      </c>
      <c r="J28">
        <v>0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</row>
    <row r="29" spans="1:19" x14ac:dyDescent="0.25">
      <c r="A29" t="s">
        <v>67</v>
      </c>
      <c r="B29">
        <v>1</v>
      </c>
      <c r="C29">
        <v>0</v>
      </c>
      <c r="D29">
        <v>0</v>
      </c>
      <c r="E29">
        <v>1</v>
      </c>
      <c r="F29">
        <v>0</v>
      </c>
      <c r="G29">
        <v>4</v>
      </c>
      <c r="H29">
        <v>1</v>
      </c>
      <c r="I29">
        <v>0</v>
      </c>
      <c r="J29">
        <v>0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 x14ac:dyDescent="0.25">
      <c r="A30" t="s">
        <v>68</v>
      </c>
      <c r="B30">
        <v>1</v>
      </c>
      <c r="C30">
        <v>0</v>
      </c>
      <c r="D30">
        <v>1</v>
      </c>
      <c r="E30">
        <v>1</v>
      </c>
      <c r="F30">
        <v>0</v>
      </c>
      <c r="G30">
        <v>4</v>
      </c>
      <c r="H30">
        <v>1</v>
      </c>
      <c r="I30">
        <v>0</v>
      </c>
      <c r="J30">
        <v>0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</row>
    <row r="31" spans="1:19" x14ac:dyDescent="0.25">
      <c r="A31" t="s">
        <v>69</v>
      </c>
      <c r="B31">
        <v>0</v>
      </c>
      <c r="C31">
        <v>0</v>
      </c>
      <c r="D31">
        <v>3</v>
      </c>
      <c r="E31">
        <v>1</v>
      </c>
      <c r="F31">
        <v>0</v>
      </c>
      <c r="G31">
        <v>4</v>
      </c>
      <c r="H31">
        <v>1</v>
      </c>
      <c r="I31">
        <v>0</v>
      </c>
      <c r="J31">
        <v>0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x14ac:dyDescent="0.25">
      <c r="A32" t="s">
        <v>70</v>
      </c>
      <c r="B32">
        <v>0</v>
      </c>
      <c r="C32">
        <v>0</v>
      </c>
      <c r="D32">
        <v>4</v>
      </c>
      <c r="E32">
        <v>0</v>
      </c>
      <c r="F32">
        <v>0</v>
      </c>
      <c r="G32">
        <v>5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</row>
    <row r="33" spans="1:19" x14ac:dyDescent="0.25">
      <c r="A33" t="s">
        <v>71</v>
      </c>
      <c r="B33">
        <v>1</v>
      </c>
      <c r="C33">
        <v>0</v>
      </c>
      <c r="D33">
        <v>4</v>
      </c>
      <c r="E33">
        <v>1</v>
      </c>
      <c r="F33">
        <v>0</v>
      </c>
      <c r="G33">
        <v>4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</row>
    <row r="34" spans="1:19" x14ac:dyDescent="0.25">
      <c r="A34" s="1" t="s">
        <v>629</v>
      </c>
      <c r="B34" s="1">
        <f>SUM(B3:B33)</f>
        <v>5</v>
      </c>
      <c r="C34" s="1">
        <f t="shared" ref="C34:S34" si="0">SUM(C3:C33)</f>
        <v>0</v>
      </c>
      <c r="D34" s="1">
        <f t="shared" si="0"/>
        <v>25</v>
      </c>
      <c r="E34" s="1">
        <f t="shared" si="0"/>
        <v>12</v>
      </c>
      <c r="F34" s="1">
        <f t="shared" si="0"/>
        <v>0</v>
      </c>
      <c r="G34" s="1">
        <f t="shared" si="0"/>
        <v>68</v>
      </c>
      <c r="H34" s="1">
        <f t="shared" si="0"/>
        <v>20</v>
      </c>
      <c r="I34" s="1">
        <f t="shared" si="0"/>
        <v>0</v>
      </c>
      <c r="J34" s="1">
        <f t="shared" si="0"/>
        <v>2</v>
      </c>
      <c r="K34" s="1">
        <f t="shared" si="0"/>
        <v>50</v>
      </c>
      <c r="L34" s="1">
        <f t="shared" si="0"/>
        <v>0</v>
      </c>
      <c r="M34" s="1">
        <f t="shared" si="0"/>
        <v>0</v>
      </c>
      <c r="N34" s="1">
        <f t="shared" si="0"/>
        <v>25</v>
      </c>
      <c r="O34" s="1">
        <f t="shared" si="0"/>
        <v>0</v>
      </c>
      <c r="P34" s="1">
        <f t="shared" si="0"/>
        <v>3</v>
      </c>
      <c r="Q34" s="1">
        <f t="shared" si="0"/>
        <v>1</v>
      </c>
      <c r="R34" s="1">
        <f t="shared" si="0"/>
        <v>0</v>
      </c>
      <c r="S34" s="1">
        <f t="shared" si="0"/>
        <v>29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1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0.16666666666666666</v>
      </c>
      <c r="C36" s="4"/>
      <c r="D36" s="4"/>
      <c r="E36" s="4">
        <f t="shared" ref="E36" si="6" xml:space="preserve"> E34 / (E34 + G34)</f>
        <v>0.15</v>
      </c>
      <c r="F36" s="4"/>
      <c r="G36" s="4"/>
      <c r="H36" s="4">
        <f t="shared" ref="H36" si="7" xml:space="preserve"> H34 / (H34 + J34)</f>
        <v>0.90909090909090906</v>
      </c>
      <c r="I36" s="4"/>
      <c r="J36" s="4"/>
      <c r="K36" s="4">
        <f t="shared" ref="K36" si="8" xml:space="preserve"> K34 / (K34 + M34)</f>
        <v>1</v>
      </c>
      <c r="L36" s="4"/>
      <c r="M36" s="4"/>
      <c r="N36" s="4">
        <f t="shared" ref="N36" si="9" xml:space="preserve"> N34 / (N34 + P34)</f>
        <v>0.8928571428571429</v>
      </c>
      <c r="O36" s="4"/>
      <c r="P36" s="4"/>
      <c r="Q36" s="4">
        <f t="shared" ref="Q36" si="10" xml:space="preserve"> Q34 / (Q34 + S34)</f>
        <v>3.3333333333333333E-2</v>
      </c>
      <c r="R36" s="4"/>
      <c r="S36" s="4"/>
    </row>
  </sheetData>
  <mergeCells count="18">
    <mergeCell ref="B36:D36"/>
    <mergeCell ref="E36:G36"/>
    <mergeCell ref="H36:J36"/>
    <mergeCell ref="K36:M36"/>
    <mergeCell ref="N36:P36"/>
    <mergeCell ref="Q36:S36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4299-29A2-4513-8D5D-B6C2C9C00668}">
  <dimension ref="A1:S36"/>
  <sheetViews>
    <sheetView workbookViewId="0">
      <selection activeCell="A34" sqref="A34:S36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72</v>
      </c>
      <c r="B3">
        <v>2</v>
      </c>
      <c r="C3">
        <v>0</v>
      </c>
      <c r="D3">
        <v>3</v>
      </c>
      <c r="E3">
        <v>0</v>
      </c>
      <c r="F3">
        <v>0</v>
      </c>
      <c r="G3">
        <v>5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25">
      <c r="A4" t="s">
        <v>73</v>
      </c>
      <c r="B4">
        <v>0</v>
      </c>
      <c r="C4">
        <v>0</v>
      </c>
      <c r="D4">
        <v>4</v>
      </c>
      <c r="E4">
        <v>0</v>
      </c>
      <c r="F4">
        <v>0</v>
      </c>
      <c r="G4">
        <v>5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</row>
    <row r="5" spans="1:19" x14ac:dyDescent="0.25">
      <c r="A5" t="s">
        <v>74</v>
      </c>
      <c r="B5">
        <v>2</v>
      </c>
      <c r="C5">
        <v>0</v>
      </c>
      <c r="D5">
        <v>1</v>
      </c>
      <c r="E5">
        <v>0</v>
      </c>
      <c r="F5">
        <v>0</v>
      </c>
      <c r="G5">
        <v>5</v>
      </c>
      <c r="H5">
        <v>0</v>
      </c>
      <c r="I5">
        <v>0</v>
      </c>
      <c r="J5">
        <v>1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</row>
    <row r="6" spans="1:19" x14ac:dyDescent="0.25">
      <c r="A6" t="s">
        <v>75</v>
      </c>
      <c r="B6">
        <v>1</v>
      </c>
      <c r="C6">
        <v>0</v>
      </c>
      <c r="D6">
        <v>1</v>
      </c>
      <c r="E6">
        <v>0</v>
      </c>
      <c r="F6">
        <v>0</v>
      </c>
      <c r="G6">
        <v>5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</row>
    <row r="7" spans="1:19" x14ac:dyDescent="0.25">
      <c r="A7" t="s">
        <v>76</v>
      </c>
      <c r="B7">
        <v>1</v>
      </c>
      <c r="C7">
        <v>0</v>
      </c>
      <c r="D7">
        <v>0</v>
      </c>
      <c r="E7">
        <v>0</v>
      </c>
      <c r="F7">
        <v>0</v>
      </c>
      <c r="G7">
        <v>5</v>
      </c>
      <c r="H7">
        <v>0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</row>
    <row r="8" spans="1:19" x14ac:dyDescent="0.25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5</v>
      </c>
      <c r="H8">
        <v>0</v>
      </c>
      <c r="I8">
        <v>0</v>
      </c>
      <c r="J8">
        <v>1</v>
      </c>
      <c r="K8">
        <v>1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</row>
    <row r="9" spans="1:19" x14ac:dyDescent="0.25">
      <c r="A9" t="s">
        <v>78</v>
      </c>
      <c r="B9">
        <v>0</v>
      </c>
      <c r="C9">
        <v>0</v>
      </c>
      <c r="D9">
        <v>0</v>
      </c>
      <c r="E9">
        <v>2</v>
      </c>
      <c r="F9">
        <v>0</v>
      </c>
      <c r="G9">
        <v>2</v>
      </c>
      <c r="H9">
        <v>0</v>
      </c>
      <c r="I9">
        <v>0</v>
      </c>
      <c r="J9">
        <v>1</v>
      </c>
      <c r="K9">
        <v>1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</row>
    <row r="10" spans="1:19" x14ac:dyDescent="0.25">
      <c r="A10" t="s">
        <v>79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0</v>
      </c>
      <c r="I10">
        <v>0</v>
      </c>
      <c r="J10">
        <v>1</v>
      </c>
      <c r="K10">
        <v>1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</row>
    <row r="11" spans="1:19" x14ac:dyDescent="0.25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0</v>
      </c>
      <c r="I11">
        <v>0</v>
      </c>
      <c r="J11">
        <v>1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 x14ac:dyDescent="0.25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19" x14ac:dyDescent="0.25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 x14ac:dyDescent="0.25">
      <c r="A14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25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89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90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25">
      <c r="A22" t="s">
        <v>91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 x14ac:dyDescent="0.25">
      <c r="A23" t="s">
        <v>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 t="s">
        <v>93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 x14ac:dyDescent="0.25">
      <c r="A25" t="s">
        <v>94</v>
      </c>
      <c r="B25">
        <v>0</v>
      </c>
      <c r="C25">
        <v>0</v>
      </c>
      <c r="D25">
        <v>0</v>
      </c>
      <c r="E25">
        <v>1</v>
      </c>
      <c r="F25">
        <v>0</v>
      </c>
      <c r="G25">
        <v>1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x14ac:dyDescent="0.25">
      <c r="A26" t="s">
        <v>95</v>
      </c>
      <c r="B26">
        <v>0</v>
      </c>
      <c r="C26">
        <v>0</v>
      </c>
      <c r="D26">
        <v>0</v>
      </c>
      <c r="E26">
        <v>1</v>
      </c>
      <c r="F26">
        <v>0</v>
      </c>
      <c r="G26">
        <v>2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96</v>
      </c>
      <c r="B27">
        <v>0</v>
      </c>
      <c r="C27">
        <v>0</v>
      </c>
      <c r="D27">
        <v>0</v>
      </c>
      <c r="E27">
        <v>2</v>
      </c>
      <c r="F27">
        <v>0</v>
      </c>
      <c r="G27">
        <v>2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 x14ac:dyDescent="0.25">
      <c r="A28" t="s">
        <v>97</v>
      </c>
      <c r="B28">
        <v>0</v>
      </c>
      <c r="C28">
        <v>0</v>
      </c>
      <c r="D28">
        <v>0</v>
      </c>
      <c r="E28">
        <v>2</v>
      </c>
      <c r="F28">
        <v>0</v>
      </c>
      <c r="G28">
        <v>3</v>
      </c>
      <c r="H28">
        <v>1</v>
      </c>
      <c r="I28">
        <v>0</v>
      </c>
      <c r="J28">
        <v>0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</row>
    <row r="29" spans="1:19" x14ac:dyDescent="0.25">
      <c r="A29" t="s">
        <v>98</v>
      </c>
      <c r="B29">
        <v>1</v>
      </c>
      <c r="C29">
        <v>0</v>
      </c>
      <c r="D29">
        <v>0</v>
      </c>
      <c r="E29">
        <v>2</v>
      </c>
      <c r="F29">
        <v>0</v>
      </c>
      <c r="G29">
        <v>3</v>
      </c>
      <c r="H29">
        <v>1</v>
      </c>
      <c r="I29">
        <v>0</v>
      </c>
      <c r="J29">
        <v>0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 x14ac:dyDescent="0.25">
      <c r="A30" t="s">
        <v>99</v>
      </c>
      <c r="B30">
        <v>1</v>
      </c>
      <c r="C30">
        <v>0</v>
      </c>
      <c r="D30">
        <v>1</v>
      </c>
      <c r="E30">
        <v>2</v>
      </c>
      <c r="F30">
        <v>0</v>
      </c>
      <c r="G30">
        <v>3</v>
      </c>
      <c r="H30">
        <v>1</v>
      </c>
      <c r="I30">
        <v>0</v>
      </c>
      <c r="J30">
        <v>0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</row>
    <row r="31" spans="1:19" x14ac:dyDescent="0.25">
      <c r="A31" t="s">
        <v>100</v>
      </c>
      <c r="B31">
        <v>1</v>
      </c>
      <c r="C31">
        <v>0</v>
      </c>
      <c r="D31">
        <v>2</v>
      </c>
      <c r="E31">
        <v>2</v>
      </c>
      <c r="F31">
        <v>0</v>
      </c>
      <c r="G31">
        <v>3</v>
      </c>
      <c r="H31">
        <v>1</v>
      </c>
      <c r="I31">
        <v>0</v>
      </c>
      <c r="J31">
        <v>0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x14ac:dyDescent="0.25">
      <c r="A32" t="s">
        <v>101</v>
      </c>
      <c r="B32">
        <v>0</v>
      </c>
      <c r="C32">
        <v>0</v>
      </c>
      <c r="D32">
        <v>4</v>
      </c>
      <c r="E32">
        <v>2</v>
      </c>
      <c r="F32">
        <v>0</v>
      </c>
      <c r="G32">
        <v>3</v>
      </c>
      <c r="H32">
        <v>1</v>
      </c>
      <c r="I32">
        <v>0</v>
      </c>
      <c r="J32">
        <v>0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</row>
    <row r="33" spans="1:19" x14ac:dyDescent="0.25">
      <c r="A33" t="s">
        <v>102</v>
      </c>
      <c r="B33">
        <v>1</v>
      </c>
      <c r="C33">
        <v>0</v>
      </c>
      <c r="D33">
        <v>4</v>
      </c>
      <c r="E33">
        <v>2</v>
      </c>
      <c r="F33">
        <v>0</v>
      </c>
      <c r="G33">
        <v>3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</row>
    <row r="34" spans="1:19" x14ac:dyDescent="0.25">
      <c r="A34" s="1" t="s">
        <v>629</v>
      </c>
      <c r="B34" s="1">
        <f>SUM(B3:B33)</f>
        <v>10</v>
      </c>
      <c r="C34" s="1">
        <f t="shared" ref="C34:S34" si="0">SUM(C3:C33)</f>
        <v>0</v>
      </c>
      <c r="D34" s="1">
        <f t="shared" si="0"/>
        <v>20</v>
      </c>
      <c r="E34" s="1">
        <f t="shared" si="0"/>
        <v>20</v>
      </c>
      <c r="F34" s="1">
        <f t="shared" si="0"/>
        <v>0</v>
      </c>
      <c r="G34" s="1">
        <f t="shared" si="0"/>
        <v>60</v>
      </c>
      <c r="H34" s="1">
        <f t="shared" si="0"/>
        <v>11</v>
      </c>
      <c r="I34" s="1">
        <f t="shared" si="0"/>
        <v>0</v>
      </c>
      <c r="J34" s="1">
        <f t="shared" si="0"/>
        <v>11</v>
      </c>
      <c r="K34" s="1">
        <f t="shared" si="0"/>
        <v>41</v>
      </c>
      <c r="L34" s="1">
        <f t="shared" si="0"/>
        <v>0</v>
      </c>
      <c r="M34" s="1">
        <f t="shared" si="0"/>
        <v>9</v>
      </c>
      <c r="N34" s="1">
        <f t="shared" si="0"/>
        <v>28</v>
      </c>
      <c r="O34" s="1">
        <f t="shared" si="0"/>
        <v>0</v>
      </c>
      <c r="P34" s="1">
        <f t="shared" si="0"/>
        <v>0</v>
      </c>
      <c r="Q34" s="1">
        <f t="shared" si="0"/>
        <v>2</v>
      </c>
      <c r="R34" s="1">
        <f t="shared" si="0"/>
        <v>0</v>
      </c>
      <c r="S34" s="1">
        <f t="shared" si="0"/>
        <v>28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1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0.33333333333333331</v>
      </c>
      <c r="C36" s="4"/>
      <c r="D36" s="4"/>
      <c r="E36" s="4">
        <f t="shared" ref="E36" si="6" xml:space="preserve"> E34 / (E34 + G34)</f>
        <v>0.25</v>
      </c>
      <c r="F36" s="4"/>
      <c r="G36" s="4"/>
      <c r="H36" s="4">
        <f t="shared" ref="H36" si="7" xml:space="preserve"> H34 / (H34 + J34)</f>
        <v>0.5</v>
      </c>
      <c r="I36" s="4"/>
      <c r="J36" s="4"/>
      <c r="K36" s="4">
        <f t="shared" ref="K36" si="8" xml:space="preserve"> K34 / (K34 + M34)</f>
        <v>0.82</v>
      </c>
      <c r="L36" s="4"/>
      <c r="M36" s="4"/>
      <c r="N36" s="4">
        <f t="shared" ref="N36" si="9" xml:space="preserve"> N34 / (N34 + P34)</f>
        <v>1</v>
      </c>
      <c r="O36" s="4"/>
      <c r="P36" s="4"/>
      <c r="Q36" s="4">
        <f t="shared" ref="Q36" si="10" xml:space="preserve"> Q34 / (Q34 + S34)</f>
        <v>6.6666666666666666E-2</v>
      </c>
      <c r="R36" s="4"/>
      <c r="S36" s="4"/>
    </row>
  </sheetData>
  <mergeCells count="18">
    <mergeCell ref="B36:D36"/>
    <mergeCell ref="E36:G36"/>
    <mergeCell ref="H36:J36"/>
    <mergeCell ref="K36:M36"/>
    <mergeCell ref="N36:P36"/>
    <mergeCell ref="Q36:S36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21DA-BD2C-49D8-B60F-181B633CD854}">
  <dimension ref="A1:S36"/>
  <sheetViews>
    <sheetView workbookViewId="0">
      <selection activeCell="A34" sqref="A34:S36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103</v>
      </c>
      <c r="B3">
        <v>2</v>
      </c>
      <c r="C3">
        <v>0</v>
      </c>
      <c r="D3">
        <v>3</v>
      </c>
      <c r="E3">
        <v>2</v>
      </c>
      <c r="F3">
        <v>0</v>
      </c>
      <c r="G3">
        <v>3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25">
      <c r="A4" t="s">
        <v>104</v>
      </c>
      <c r="B4">
        <v>2</v>
      </c>
      <c r="C4">
        <v>0</v>
      </c>
      <c r="D4">
        <v>2</v>
      </c>
      <c r="E4">
        <v>2</v>
      </c>
      <c r="F4">
        <v>0</v>
      </c>
      <c r="G4">
        <v>3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</row>
    <row r="5" spans="1:19" x14ac:dyDescent="0.25">
      <c r="A5" t="s">
        <v>105</v>
      </c>
      <c r="B5">
        <v>1</v>
      </c>
      <c r="C5">
        <v>0</v>
      </c>
      <c r="D5">
        <v>2</v>
      </c>
      <c r="E5">
        <v>2</v>
      </c>
      <c r="F5">
        <v>0</v>
      </c>
      <c r="G5">
        <v>3</v>
      </c>
      <c r="H5">
        <v>0</v>
      </c>
      <c r="I5">
        <v>0</v>
      </c>
      <c r="J5">
        <v>1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</row>
    <row r="6" spans="1:19" x14ac:dyDescent="0.25">
      <c r="A6" t="s">
        <v>106</v>
      </c>
      <c r="B6">
        <v>2</v>
      </c>
      <c r="C6">
        <v>0</v>
      </c>
      <c r="D6">
        <v>0</v>
      </c>
      <c r="E6">
        <v>2</v>
      </c>
      <c r="F6">
        <v>0</v>
      </c>
      <c r="G6">
        <v>3</v>
      </c>
      <c r="H6">
        <v>1</v>
      </c>
      <c r="I6">
        <v>0</v>
      </c>
      <c r="J6">
        <v>0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</row>
    <row r="7" spans="1:19" x14ac:dyDescent="0.25">
      <c r="A7" t="s">
        <v>107</v>
      </c>
      <c r="B7">
        <v>1</v>
      </c>
      <c r="C7">
        <v>0</v>
      </c>
      <c r="D7">
        <v>0</v>
      </c>
      <c r="E7">
        <v>2</v>
      </c>
      <c r="F7">
        <v>0</v>
      </c>
      <c r="G7">
        <v>3</v>
      </c>
      <c r="H7">
        <v>1</v>
      </c>
      <c r="I7">
        <v>0</v>
      </c>
      <c r="J7">
        <v>0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</row>
    <row r="8" spans="1:19" x14ac:dyDescent="0.25">
      <c r="A8" t="s">
        <v>108</v>
      </c>
      <c r="B8">
        <v>0</v>
      </c>
      <c r="C8">
        <v>0</v>
      </c>
      <c r="D8">
        <v>0</v>
      </c>
      <c r="E8">
        <v>2</v>
      </c>
      <c r="F8">
        <v>0</v>
      </c>
      <c r="G8">
        <v>3</v>
      </c>
      <c r="H8">
        <v>1</v>
      </c>
      <c r="I8">
        <v>0</v>
      </c>
      <c r="J8">
        <v>0</v>
      </c>
      <c r="K8">
        <v>1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</row>
    <row r="9" spans="1:19" x14ac:dyDescent="0.25">
      <c r="A9" t="s">
        <v>109</v>
      </c>
      <c r="B9">
        <v>0</v>
      </c>
      <c r="C9">
        <v>0</v>
      </c>
      <c r="D9">
        <v>0</v>
      </c>
      <c r="E9">
        <v>1</v>
      </c>
      <c r="F9">
        <v>0</v>
      </c>
      <c r="G9">
        <v>3</v>
      </c>
      <c r="H9">
        <v>1</v>
      </c>
      <c r="I9">
        <v>0</v>
      </c>
      <c r="J9">
        <v>0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</row>
    <row r="10" spans="1:19" x14ac:dyDescent="0.25">
      <c r="A10" t="s">
        <v>110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1</v>
      </c>
      <c r="I10">
        <v>0</v>
      </c>
      <c r="J10">
        <v>0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</row>
    <row r="11" spans="1:19" x14ac:dyDescent="0.25">
      <c r="A11" t="s">
        <v>111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  <c r="I11">
        <v>0</v>
      </c>
      <c r="J11">
        <v>0</v>
      </c>
      <c r="K11">
        <v>1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 x14ac:dyDescent="0.25">
      <c r="A12" t="s">
        <v>112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19" x14ac:dyDescent="0.25">
      <c r="A13" t="s">
        <v>113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 x14ac:dyDescent="0.25">
      <c r="A14" t="s">
        <v>114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115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25">
      <c r="A16" t="s">
        <v>116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117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118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119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120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121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25">
      <c r="A22" t="s">
        <v>122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 x14ac:dyDescent="0.25">
      <c r="A23" t="s">
        <v>123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1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 t="s">
        <v>124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 x14ac:dyDescent="0.25">
      <c r="A25" t="s">
        <v>125</v>
      </c>
      <c r="B25">
        <v>0</v>
      </c>
      <c r="C25">
        <v>0</v>
      </c>
      <c r="D25">
        <v>0</v>
      </c>
      <c r="E25">
        <v>1</v>
      </c>
      <c r="F25">
        <v>0</v>
      </c>
      <c r="G25">
        <v>1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x14ac:dyDescent="0.25">
      <c r="A26" t="s">
        <v>126</v>
      </c>
      <c r="B26">
        <v>0</v>
      </c>
      <c r="C26">
        <v>0</v>
      </c>
      <c r="D26">
        <v>0</v>
      </c>
      <c r="E26">
        <v>0</v>
      </c>
      <c r="F26">
        <v>0</v>
      </c>
      <c r="G26">
        <v>3</v>
      </c>
      <c r="H26">
        <v>1</v>
      </c>
      <c r="I26">
        <v>0</v>
      </c>
      <c r="J26">
        <v>0</v>
      </c>
      <c r="K26">
        <v>1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127</v>
      </c>
      <c r="B27">
        <v>0</v>
      </c>
      <c r="C27">
        <v>0</v>
      </c>
      <c r="D27">
        <v>0</v>
      </c>
      <c r="E27">
        <v>1</v>
      </c>
      <c r="F27">
        <v>0</v>
      </c>
      <c r="G27">
        <v>3</v>
      </c>
      <c r="H27">
        <v>1</v>
      </c>
      <c r="I27">
        <v>0</v>
      </c>
      <c r="J27">
        <v>0</v>
      </c>
      <c r="K27">
        <v>1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 x14ac:dyDescent="0.25">
      <c r="A28" t="s">
        <v>128</v>
      </c>
      <c r="B28">
        <v>0</v>
      </c>
      <c r="C28">
        <v>0</v>
      </c>
      <c r="D28">
        <v>0</v>
      </c>
      <c r="E28">
        <v>2</v>
      </c>
      <c r="F28">
        <v>0</v>
      </c>
      <c r="G28">
        <v>3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</row>
    <row r="29" spans="1:19" x14ac:dyDescent="0.25">
      <c r="A29" t="s">
        <v>129</v>
      </c>
      <c r="B29">
        <v>0</v>
      </c>
      <c r="C29">
        <v>0</v>
      </c>
      <c r="D29">
        <v>1</v>
      </c>
      <c r="E29">
        <v>2</v>
      </c>
      <c r="F29">
        <v>0</v>
      </c>
      <c r="G29">
        <v>3</v>
      </c>
      <c r="H29">
        <v>0</v>
      </c>
      <c r="I29">
        <v>0</v>
      </c>
      <c r="J29">
        <v>1</v>
      </c>
      <c r="K29">
        <v>1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 x14ac:dyDescent="0.25">
      <c r="A30" t="s">
        <v>130</v>
      </c>
      <c r="B30">
        <v>0</v>
      </c>
      <c r="C30">
        <v>0</v>
      </c>
      <c r="D30">
        <v>2</v>
      </c>
      <c r="E30">
        <v>1</v>
      </c>
      <c r="F30">
        <v>0</v>
      </c>
      <c r="G30">
        <v>4</v>
      </c>
      <c r="H30">
        <v>1</v>
      </c>
      <c r="I30">
        <v>0</v>
      </c>
      <c r="J30">
        <v>0</v>
      </c>
      <c r="K30">
        <v>1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</row>
    <row r="31" spans="1:19" x14ac:dyDescent="0.25">
      <c r="A31" t="s">
        <v>131</v>
      </c>
      <c r="B31">
        <v>0</v>
      </c>
      <c r="C31">
        <v>0</v>
      </c>
      <c r="D31">
        <v>3</v>
      </c>
      <c r="E31">
        <v>1</v>
      </c>
      <c r="F31">
        <v>0</v>
      </c>
      <c r="G31">
        <v>4</v>
      </c>
      <c r="H31">
        <v>1</v>
      </c>
      <c r="I31">
        <v>0</v>
      </c>
      <c r="J31">
        <v>0</v>
      </c>
      <c r="K31">
        <v>1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x14ac:dyDescent="0.25">
      <c r="A32" t="s">
        <v>132</v>
      </c>
      <c r="B32">
        <v>0</v>
      </c>
      <c r="C32">
        <v>0</v>
      </c>
      <c r="D32">
        <v>4</v>
      </c>
      <c r="E32">
        <v>2</v>
      </c>
      <c r="F32">
        <v>0</v>
      </c>
      <c r="G32">
        <v>3</v>
      </c>
      <c r="H32">
        <v>1</v>
      </c>
      <c r="I32">
        <v>0</v>
      </c>
      <c r="J32">
        <v>0</v>
      </c>
      <c r="K32">
        <v>1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</row>
    <row r="33" spans="1:19" x14ac:dyDescent="0.25">
      <c r="A33" t="s">
        <v>133</v>
      </c>
      <c r="B33">
        <v>0</v>
      </c>
      <c r="C33">
        <v>0</v>
      </c>
      <c r="D33">
        <v>5</v>
      </c>
      <c r="E33">
        <v>1</v>
      </c>
      <c r="F33">
        <v>0</v>
      </c>
      <c r="G33">
        <v>4</v>
      </c>
      <c r="H33">
        <v>1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</row>
    <row r="34" spans="1:19" x14ac:dyDescent="0.25">
      <c r="A34" s="1" t="s">
        <v>629</v>
      </c>
      <c r="B34" s="1">
        <f>SUM(B3:B33)</f>
        <v>8</v>
      </c>
      <c r="C34" s="1">
        <f t="shared" ref="C34:S34" si="0">SUM(C3:C33)</f>
        <v>0</v>
      </c>
      <c r="D34" s="1">
        <f t="shared" si="0"/>
        <v>22</v>
      </c>
      <c r="E34" s="1">
        <f t="shared" si="0"/>
        <v>27</v>
      </c>
      <c r="F34" s="1">
        <f t="shared" si="0"/>
        <v>0</v>
      </c>
      <c r="G34" s="1">
        <f t="shared" si="0"/>
        <v>53</v>
      </c>
      <c r="H34" s="1">
        <f t="shared" si="0"/>
        <v>18</v>
      </c>
      <c r="I34" s="1">
        <f t="shared" si="0"/>
        <v>0</v>
      </c>
      <c r="J34" s="1">
        <f t="shared" si="0"/>
        <v>4</v>
      </c>
      <c r="K34" s="1">
        <f t="shared" si="0"/>
        <v>32</v>
      </c>
      <c r="L34" s="1">
        <f t="shared" si="0"/>
        <v>0</v>
      </c>
      <c r="M34" s="1">
        <f t="shared" si="0"/>
        <v>18</v>
      </c>
      <c r="N34" s="1">
        <f t="shared" si="0"/>
        <v>28</v>
      </c>
      <c r="O34" s="1">
        <f t="shared" si="0"/>
        <v>0</v>
      </c>
      <c r="P34" s="1">
        <f t="shared" si="0"/>
        <v>0</v>
      </c>
      <c r="Q34" s="1">
        <f t="shared" si="0"/>
        <v>1</v>
      </c>
      <c r="R34" s="1">
        <f t="shared" si="0"/>
        <v>0</v>
      </c>
      <c r="S34" s="1">
        <f t="shared" si="0"/>
        <v>29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1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0.26666666666666666</v>
      </c>
      <c r="C36" s="4"/>
      <c r="D36" s="4"/>
      <c r="E36" s="4">
        <f t="shared" ref="E36" si="6" xml:space="preserve"> E34 / (E34 + G34)</f>
        <v>0.33750000000000002</v>
      </c>
      <c r="F36" s="4"/>
      <c r="G36" s="4"/>
      <c r="H36" s="4">
        <f t="shared" ref="H36" si="7" xml:space="preserve"> H34 / (H34 + J34)</f>
        <v>0.81818181818181823</v>
      </c>
      <c r="I36" s="4"/>
      <c r="J36" s="4"/>
      <c r="K36" s="4">
        <f t="shared" ref="K36" si="8" xml:space="preserve"> K34 / (K34 + M34)</f>
        <v>0.64</v>
      </c>
      <c r="L36" s="4"/>
      <c r="M36" s="4"/>
      <c r="N36" s="4">
        <f t="shared" ref="N36" si="9" xml:space="preserve"> N34 / (N34 + P34)</f>
        <v>1</v>
      </c>
      <c r="O36" s="4"/>
      <c r="P36" s="4"/>
      <c r="Q36" s="4">
        <f t="shared" ref="Q36" si="10" xml:space="preserve"> Q34 / (Q34 + S34)</f>
        <v>3.3333333333333333E-2</v>
      </c>
      <c r="R36" s="4"/>
      <c r="S36" s="4"/>
    </row>
  </sheetData>
  <mergeCells count="18">
    <mergeCell ref="B36:D36"/>
    <mergeCell ref="E36:G36"/>
    <mergeCell ref="H36:J36"/>
    <mergeCell ref="K36:M36"/>
    <mergeCell ref="N36:P36"/>
    <mergeCell ref="Q36:S36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FDBD-692A-4C18-8258-6399B26A2763}">
  <dimension ref="A1:S36"/>
  <sheetViews>
    <sheetView workbookViewId="0">
      <selection activeCell="A34" sqref="A34:S36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134</v>
      </c>
      <c r="B3">
        <v>1</v>
      </c>
      <c r="C3">
        <v>0</v>
      </c>
      <c r="D3">
        <v>4</v>
      </c>
      <c r="E3">
        <v>0</v>
      </c>
      <c r="F3">
        <v>0</v>
      </c>
      <c r="G3">
        <v>5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25">
      <c r="A4" t="s">
        <v>135</v>
      </c>
      <c r="B4">
        <v>1</v>
      </c>
      <c r="C4">
        <v>0</v>
      </c>
      <c r="D4">
        <v>3</v>
      </c>
      <c r="E4">
        <v>0</v>
      </c>
      <c r="F4">
        <v>0</v>
      </c>
      <c r="G4">
        <v>5</v>
      </c>
      <c r="H4">
        <v>1</v>
      </c>
      <c r="I4">
        <v>0</v>
      </c>
      <c r="J4">
        <v>0</v>
      </c>
      <c r="K4">
        <v>1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</row>
    <row r="5" spans="1:19" x14ac:dyDescent="0.25">
      <c r="A5" t="s">
        <v>136</v>
      </c>
      <c r="B5">
        <v>1</v>
      </c>
      <c r="C5">
        <v>0</v>
      </c>
      <c r="D5">
        <v>2</v>
      </c>
      <c r="E5">
        <v>0</v>
      </c>
      <c r="F5">
        <v>0</v>
      </c>
      <c r="G5">
        <v>5</v>
      </c>
      <c r="H5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</row>
    <row r="6" spans="1:19" x14ac:dyDescent="0.25">
      <c r="A6" t="s">
        <v>137</v>
      </c>
      <c r="B6">
        <v>1</v>
      </c>
      <c r="C6">
        <v>0</v>
      </c>
      <c r="D6">
        <v>1</v>
      </c>
      <c r="E6">
        <v>0</v>
      </c>
      <c r="F6">
        <v>0</v>
      </c>
      <c r="G6">
        <v>5</v>
      </c>
      <c r="H6">
        <v>1</v>
      </c>
      <c r="I6">
        <v>0</v>
      </c>
      <c r="J6">
        <v>0</v>
      </c>
      <c r="K6">
        <v>1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</row>
    <row r="7" spans="1:19" x14ac:dyDescent="0.25">
      <c r="A7" t="s">
        <v>138</v>
      </c>
      <c r="B7">
        <v>1</v>
      </c>
      <c r="C7">
        <v>0</v>
      </c>
      <c r="D7">
        <v>0</v>
      </c>
      <c r="E7">
        <v>0</v>
      </c>
      <c r="F7">
        <v>0</v>
      </c>
      <c r="G7">
        <v>5</v>
      </c>
      <c r="H7">
        <v>1</v>
      </c>
      <c r="I7">
        <v>0</v>
      </c>
      <c r="J7">
        <v>0</v>
      </c>
      <c r="K7">
        <v>1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</row>
    <row r="8" spans="1:19" x14ac:dyDescent="0.25">
      <c r="A8" t="s">
        <v>139</v>
      </c>
      <c r="B8">
        <v>0</v>
      </c>
      <c r="C8">
        <v>0</v>
      </c>
      <c r="D8">
        <v>0</v>
      </c>
      <c r="E8">
        <v>0</v>
      </c>
      <c r="F8">
        <v>0</v>
      </c>
      <c r="G8">
        <v>5</v>
      </c>
      <c r="H8">
        <v>1</v>
      </c>
      <c r="I8">
        <v>0</v>
      </c>
      <c r="J8">
        <v>0</v>
      </c>
      <c r="K8">
        <v>1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</row>
    <row r="9" spans="1:19" x14ac:dyDescent="0.25">
      <c r="A9" t="s">
        <v>140</v>
      </c>
      <c r="B9">
        <v>0</v>
      </c>
      <c r="C9">
        <v>0</v>
      </c>
      <c r="D9">
        <v>0</v>
      </c>
      <c r="E9">
        <v>0</v>
      </c>
      <c r="F9">
        <v>0</v>
      </c>
      <c r="G9">
        <v>4</v>
      </c>
      <c r="H9">
        <v>1</v>
      </c>
      <c r="I9">
        <v>0</v>
      </c>
      <c r="J9">
        <v>0</v>
      </c>
      <c r="K9">
        <v>1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</row>
    <row r="10" spans="1:19" x14ac:dyDescent="0.25">
      <c r="A10" t="s">
        <v>141</v>
      </c>
      <c r="B10">
        <v>0</v>
      </c>
      <c r="C10">
        <v>0</v>
      </c>
      <c r="D10">
        <v>0</v>
      </c>
      <c r="E10">
        <v>0</v>
      </c>
      <c r="F10">
        <v>0</v>
      </c>
      <c r="G10">
        <v>3</v>
      </c>
      <c r="H10">
        <v>1</v>
      </c>
      <c r="I10">
        <v>0</v>
      </c>
      <c r="J10">
        <v>0</v>
      </c>
      <c r="K10">
        <v>1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</row>
    <row r="11" spans="1:19" x14ac:dyDescent="0.25">
      <c r="A11" t="s">
        <v>142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1</v>
      </c>
      <c r="I11">
        <v>0</v>
      </c>
      <c r="J11">
        <v>0</v>
      </c>
      <c r="K11">
        <v>1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 x14ac:dyDescent="0.25">
      <c r="A12" t="s">
        <v>143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1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19" x14ac:dyDescent="0.25">
      <c r="A13" t="s">
        <v>144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 x14ac:dyDescent="0.25">
      <c r="A14" t="s">
        <v>145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146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25">
      <c r="A16" t="s">
        <v>147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148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149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150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151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152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</row>
    <row r="22" spans="1:19" x14ac:dyDescent="0.25">
      <c r="A22" t="s">
        <v>153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 x14ac:dyDescent="0.25">
      <c r="A23" t="s">
        <v>154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 t="s">
        <v>155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 x14ac:dyDescent="0.25">
      <c r="A25" t="s">
        <v>156</v>
      </c>
      <c r="B25">
        <v>0</v>
      </c>
      <c r="C25">
        <v>0</v>
      </c>
      <c r="D25">
        <v>0</v>
      </c>
      <c r="E25">
        <v>1</v>
      </c>
      <c r="F25">
        <v>0</v>
      </c>
      <c r="G25">
        <v>1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x14ac:dyDescent="0.25">
      <c r="A26" t="s">
        <v>157</v>
      </c>
      <c r="B26">
        <v>0</v>
      </c>
      <c r="C26">
        <v>0</v>
      </c>
      <c r="D26">
        <v>0</v>
      </c>
      <c r="E26">
        <v>1</v>
      </c>
      <c r="F26">
        <v>0</v>
      </c>
      <c r="G26">
        <v>2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158</v>
      </c>
      <c r="B27">
        <v>0</v>
      </c>
      <c r="C27">
        <v>0</v>
      </c>
      <c r="D27">
        <v>0</v>
      </c>
      <c r="E27">
        <v>2</v>
      </c>
      <c r="F27">
        <v>0</v>
      </c>
      <c r="G27">
        <v>2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 x14ac:dyDescent="0.25">
      <c r="A28" t="s">
        <v>159</v>
      </c>
      <c r="B28">
        <v>0</v>
      </c>
      <c r="C28">
        <v>0</v>
      </c>
      <c r="D28">
        <v>0</v>
      </c>
      <c r="E28">
        <v>2</v>
      </c>
      <c r="F28">
        <v>0</v>
      </c>
      <c r="G28">
        <v>3</v>
      </c>
      <c r="H28">
        <v>1</v>
      </c>
      <c r="I28">
        <v>0</v>
      </c>
      <c r="J28">
        <v>0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</row>
    <row r="29" spans="1:19" x14ac:dyDescent="0.25">
      <c r="A29" t="s">
        <v>160</v>
      </c>
      <c r="B29">
        <v>1</v>
      </c>
      <c r="C29">
        <v>0</v>
      </c>
      <c r="D29">
        <v>0</v>
      </c>
      <c r="E29">
        <v>2</v>
      </c>
      <c r="F29">
        <v>0</v>
      </c>
      <c r="G29">
        <v>3</v>
      </c>
      <c r="H29">
        <v>1</v>
      </c>
      <c r="I29">
        <v>0</v>
      </c>
      <c r="J29">
        <v>0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 x14ac:dyDescent="0.25">
      <c r="A30" t="s">
        <v>161</v>
      </c>
      <c r="B30">
        <v>1</v>
      </c>
      <c r="C30">
        <v>0</v>
      </c>
      <c r="D30">
        <v>1</v>
      </c>
      <c r="E30">
        <v>2</v>
      </c>
      <c r="F30">
        <v>0</v>
      </c>
      <c r="G30">
        <v>3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</row>
    <row r="31" spans="1:19" x14ac:dyDescent="0.25">
      <c r="A31" t="s">
        <v>162</v>
      </c>
      <c r="B31">
        <v>1</v>
      </c>
      <c r="C31">
        <v>0</v>
      </c>
      <c r="D31">
        <v>2</v>
      </c>
      <c r="E31">
        <v>2</v>
      </c>
      <c r="F31">
        <v>0</v>
      </c>
      <c r="G31">
        <v>3</v>
      </c>
      <c r="H31">
        <v>0</v>
      </c>
      <c r="I31">
        <v>0</v>
      </c>
      <c r="J31">
        <v>1</v>
      </c>
      <c r="K31">
        <v>1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1</v>
      </c>
      <c r="S31">
        <v>1</v>
      </c>
    </row>
    <row r="32" spans="1:19" x14ac:dyDescent="0.25">
      <c r="A32" t="s">
        <v>163</v>
      </c>
      <c r="B32">
        <v>2</v>
      </c>
      <c r="C32">
        <v>0</v>
      </c>
      <c r="D32">
        <v>2</v>
      </c>
      <c r="E32">
        <v>2</v>
      </c>
      <c r="F32">
        <v>0</v>
      </c>
      <c r="G32">
        <v>3</v>
      </c>
      <c r="H32">
        <v>0</v>
      </c>
      <c r="I32">
        <v>0</v>
      </c>
      <c r="J32">
        <v>1</v>
      </c>
      <c r="K32">
        <v>1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1</v>
      </c>
      <c r="S32">
        <v>1</v>
      </c>
    </row>
    <row r="33" spans="1:19" x14ac:dyDescent="0.25">
      <c r="A33" t="s">
        <v>164</v>
      </c>
      <c r="B33">
        <v>2</v>
      </c>
      <c r="C33">
        <v>0</v>
      </c>
      <c r="D33">
        <v>3</v>
      </c>
      <c r="E33">
        <v>2</v>
      </c>
      <c r="F33">
        <v>0</v>
      </c>
      <c r="G33">
        <v>3</v>
      </c>
      <c r="H33">
        <v>0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1</v>
      </c>
      <c r="S33">
        <v>1</v>
      </c>
    </row>
    <row r="34" spans="1:19" x14ac:dyDescent="0.25">
      <c r="A34" s="1" t="s">
        <v>629</v>
      </c>
      <c r="B34" s="1">
        <f>SUM(B3:B33)</f>
        <v>12</v>
      </c>
      <c r="C34" s="1">
        <f t="shared" ref="C34:S34" si="0">SUM(C3:C33)</f>
        <v>0</v>
      </c>
      <c r="D34" s="1">
        <f t="shared" si="0"/>
        <v>18</v>
      </c>
      <c r="E34" s="1">
        <f t="shared" si="0"/>
        <v>17</v>
      </c>
      <c r="F34" s="1">
        <f t="shared" si="0"/>
        <v>0</v>
      </c>
      <c r="G34" s="1">
        <f t="shared" si="0"/>
        <v>63</v>
      </c>
      <c r="H34" s="1">
        <f t="shared" si="0"/>
        <v>18</v>
      </c>
      <c r="I34" s="1">
        <f t="shared" si="0"/>
        <v>0</v>
      </c>
      <c r="J34" s="1">
        <f t="shared" si="0"/>
        <v>4</v>
      </c>
      <c r="K34" s="1">
        <f t="shared" si="0"/>
        <v>35</v>
      </c>
      <c r="L34" s="1">
        <f t="shared" si="0"/>
        <v>1</v>
      </c>
      <c r="M34" s="1">
        <f t="shared" si="0"/>
        <v>15</v>
      </c>
      <c r="N34" s="1">
        <f t="shared" si="0"/>
        <v>27</v>
      </c>
      <c r="O34" s="1">
        <f t="shared" si="0"/>
        <v>0</v>
      </c>
      <c r="P34" s="1">
        <f t="shared" si="0"/>
        <v>1</v>
      </c>
      <c r="Q34" s="1">
        <f t="shared" si="0"/>
        <v>2</v>
      </c>
      <c r="R34" s="1">
        <f t="shared" si="0"/>
        <v>3</v>
      </c>
      <c r="S34" s="1">
        <f t="shared" si="0"/>
        <v>28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0.97222222222222221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0.4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0.4</v>
      </c>
      <c r="C36" s="4"/>
      <c r="D36" s="4"/>
      <c r="E36" s="4">
        <f t="shared" ref="E36" si="6" xml:space="preserve"> E34 / (E34 + G34)</f>
        <v>0.21249999999999999</v>
      </c>
      <c r="F36" s="4"/>
      <c r="G36" s="4"/>
      <c r="H36" s="4">
        <f t="shared" ref="H36" si="7" xml:space="preserve"> H34 / (H34 + J34)</f>
        <v>0.81818181818181823</v>
      </c>
      <c r="I36" s="4"/>
      <c r="J36" s="4"/>
      <c r="K36" s="4">
        <f t="shared" ref="K36" si="8" xml:space="preserve"> K34 / (K34 + M34)</f>
        <v>0.7</v>
      </c>
      <c r="L36" s="4"/>
      <c r="M36" s="4"/>
      <c r="N36" s="4">
        <f t="shared" ref="N36" si="9" xml:space="preserve"> N34 / (N34 + P34)</f>
        <v>0.9642857142857143</v>
      </c>
      <c r="O36" s="4"/>
      <c r="P36" s="4"/>
      <c r="Q36" s="4">
        <f t="shared" ref="Q36" si="10" xml:space="preserve"> Q34 / (Q34 + S34)</f>
        <v>6.6666666666666666E-2</v>
      </c>
      <c r="R36" s="4"/>
      <c r="S36" s="4"/>
    </row>
  </sheetData>
  <mergeCells count="18">
    <mergeCell ref="B36:D36"/>
    <mergeCell ref="E36:G36"/>
    <mergeCell ref="H36:J36"/>
    <mergeCell ref="K36:M36"/>
    <mergeCell ref="N36:P36"/>
    <mergeCell ref="Q36:S36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3855-3923-456A-BE30-846784ECDEF4}">
  <dimension ref="A1:S36"/>
  <sheetViews>
    <sheetView workbookViewId="0">
      <selection activeCell="A34" sqref="A34:S36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165</v>
      </c>
      <c r="B3">
        <v>2</v>
      </c>
      <c r="C3">
        <v>0</v>
      </c>
      <c r="D3">
        <v>3</v>
      </c>
      <c r="E3">
        <v>2</v>
      </c>
      <c r="F3">
        <v>0</v>
      </c>
      <c r="G3">
        <v>3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</row>
    <row r="4" spans="1:19" x14ac:dyDescent="0.25">
      <c r="A4" t="s">
        <v>166</v>
      </c>
      <c r="B4">
        <v>1</v>
      </c>
      <c r="C4">
        <v>0</v>
      </c>
      <c r="D4">
        <v>3</v>
      </c>
      <c r="E4">
        <v>1</v>
      </c>
      <c r="F4">
        <v>0</v>
      </c>
      <c r="G4">
        <v>4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</row>
    <row r="5" spans="1:19" x14ac:dyDescent="0.25">
      <c r="A5" t="s">
        <v>167</v>
      </c>
      <c r="B5">
        <v>2</v>
      </c>
      <c r="C5">
        <v>0</v>
      </c>
      <c r="D5">
        <v>1</v>
      </c>
      <c r="E5">
        <v>2</v>
      </c>
      <c r="F5">
        <v>0</v>
      </c>
      <c r="G5">
        <v>3</v>
      </c>
      <c r="H5">
        <v>0</v>
      </c>
      <c r="I5">
        <v>0</v>
      </c>
      <c r="J5">
        <v>1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1</v>
      </c>
      <c r="S5">
        <v>1</v>
      </c>
    </row>
    <row r="6" spans="1:19" x14ac:dyDescent="0.25">
      <c r="A6" t="s">
        <v>168</v>
      </c>
      <c r="B6">
        <v>1</v>
      </c>
      <c r="C6">
        <v>0</v>
      </c>
      <c r="D6">
        <v>1</v>
      </c>
      <c r="E6">
        <v>2</v>
      </c>
      <c r="F6">
        <v>0</v>
      </c>
      <c r="G6">
        <v>3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1</v>
      </c>
    </row>
    <row r="7" spans="1:19" x14ac:dyDescent="0.25">
      <c r="A7" t="s">
        <v>169</v>
      </c>
      <c r="B7">
        <v>1</v>
      </c>
      <c r="C7">
        <v>0</v>
      </c>
      <c r="D7">
        <v>0</v>
      </c>
      <c r="E7">
        <v>2</v>
      </c>
      <c r="F7">
        <v>0</v>
      </c>
      <c r="G7">
        <v>3</v>
      </c>
      <c r="H7">
        <v>0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</row>
    <row r="8" spans="1:19" x14ac:dyDescent="0.25">
      <c r="A8" t="s">
        <v>170</v>
      </c>
      <c r="B8">
        <v>0</v>
      </c>
      <c r="C8">
        <v>0</v>
      </c>
      <c r="D8">
        <v>0</v>
      </c>
      <c r="E8">
        <v>2</v>
      </c>
      <c r="F8">
        <v>0</v>
      </c>
      <c r="G8">
        <v>3</v>
      </c>
      <c r="H8">
        <v>0</v>
      </c>
      <c r="I8">
        <v>0</v>
      </c>
      <c r="J8">
        <v>1</v>
      </c>
      <c r="K8">
        <v>1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1</v>
      </c>
      <c r="S8">
        <v>1</v>
      </c>
    </row>
    <row r="9" spans="1:19" x14ac:dyDescent="0.25">
      <c r="A9" t="s">
        <v>171</v>
      </c>
      <c r="B9">
        <v>0</v>
      </c>
      <c r="C9">
        <v>0</v>
      </c>
      <c r="D9">
        <v>0</v>
      </c>
      <c r="E9">
        <v>2</v>
      </c>
      <c r="F9">
        <v>0</v>
      </c>
      <c r="G9">
        <v>2</v>
      </c>
      <c r="H9">
        <v>0</v>
      </c>
      <c r="I9">
        <v>0</v>
      </c>
      <c r="J9">
        <v>1</v>
      </c>
      <c r="K9">
        <v>1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1</v>
      </c>
      <c r="S9">
        <v>1</v>
      </c>
    </row>
    <row r="10" spans="1:19" x14ac:dyDescent="0.25">
      <c r="A10" t="s">
        <v>172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1</v>
      </c>
      <c r="I10">
        <v>0</v>
      </c>
      <c r="J10">
        <v>0</v>
      </c>
      <c r="K10">
        <v>1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1</v>
      </c>
      <c r="S10">
        <v>1</v>
      </c>
    </row>
    <row r="11" spans="1:19" x14ac:dyDescent="0.25">
      <c r="A11" t="s">
        <v>173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0</v>
      </c>
      <c r="I11">
        <v>0</v>
      </c>
      <c r="J11">
        <v>1</v>
      </c>
      <c r="K11">
        <v>1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1</v>
      </c>
      <c r="S11">
        <v>1</v>
      </c>
    </row>
    <row r="12" spans="1:19" x14ac:dyDescent="0.25">
      <c r="A12" t="s">
        <v>174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1</v>
      </c>
      <c r="S12">
        <v>1</v>
      </c>
    </row>
    <row r="13" spans="1:19" x14ac:dyDescent="0.25">
      <c r="A13" t="s">
        <v>175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1</v>
      </c>
      <c r="S13">
        <v>1</v>
      </c>
    </row>
    <row r="14" spans="1:19" x14ac:dyDescent="0.25">
      <c r="A14" t="s">
        <v>176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177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25">
      <c r="A16" t="s">
        <v>178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179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180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181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182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183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25">
      <c r="A22" t="s">
        <v>184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 x14ac:dyDescent="0.25">
      <c r="A23" t="s">
        <v>185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1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 t="s">
        <v>186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 x14ac:dyDescent="0.25">
      <c r="A25" t="s">
        <v>187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x14ac:dyDescent="0.25">
      <c r="A26" t="s">
        <v>188</v>
      </c>
      <c r="B26">
        <v>0</v>
      </c>
      <c r="C26">
        <v>0</v>
      </c>
      <c r="D26">
        <v>0</v>
      </c>
      <c r="E26">
        <v>0</v>
      </c>
      <c r="F26">
        <v>0</v>
      </c>
      <c r="G26">
        <v>3</v>
      </c>
      <c r="H26">
        <v>1</v>
      </c>
      <c r="I26">
        <v>0</v>
      </c>
      <c r="J26">
        <v>0</v>
      </c>
      <c r="K26">
        <v>1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189</v>
      </c>
      <c r="B27">
        <v>0</v>
      </c>
      <c r="C27">
        <v>0</v>
      </c>
      <c r="D27">
        <v>0</v>
      </c>
      <c r="E27">
        <v>2</v>
      </c>
      <c r="F27">
        <v>0</v>
      </c>
      <c r="G27">
        <v>2</v>
      </c>
      <c r="H27">
        <v>1</v>
      </c>
      <c r="I27">
        <v>0</v>
      </c>
      <c r="J27">
        <v>0</v>
      </c>
      <c r="K27">
        <v>1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 x14ac:dyDescent="0.25">
      <c r="A28" t="s">
        <v>190</v>
      </c>
      <c r="B28">
        <v>0</v>
      </c>
      <c r="C28">
        <v>0</v>
      </c>
      <c r="D28">
        <v>0</v>
      </c>
      <c r="E28">
        <v>2</v>
      </c>
      <c r="F28">
        <v>0</v>
      </c>
      <c r="G28">
        <v>3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</row>
    <row r="29" spans="1:19" x14ac:dyDescent="0.25">
      <c r="A29" t="s">
        <v>191</v>
      </c>
      <c r="B29">
        <v>1</v>
      </c>
      <c r="C29">
        <v>0</v>
      </c>
      <c r="D29">
        <v>0</v>
      </c>
      <c r="E29">
        <v>0</v>
      </c>
      <c r="F29">
        <v>0</v>
      </c>
      <c r="G29">
        <v>5</v>
      </c>
      <c r="H29">
        <v>1</v>
      </c>
      <c r="I29">
        <v>0</v>
      </c>
      <c r="J29">
        <v>0</v>
      </c>
      <c r="K29">
        <v>1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 x14ac:dyDescent="0.25">
      <c r="A30" t="s">
        <v>192</v>
      </c>
      <c r="B30">
        <v>1</v>
      </c>
      <c r="C30">
        <v>0</v>
      </c>
      <c r="D30">
        <v>1</v>
      </c>
      <c r="E30">
        <v>0</v>
      </c>
      <c r="F30">
        <v>0</v>
      </c>
      <c r="G30">
        <v>5</v>
      </c>
      <c r="H30">
        <v>0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</row>
    <row r="31" spans="1:19" x14ac:dyDescent="0.25">
      <c r="A31" t="s">
        <v>193</v>
      </c>
      <c r="B31">
        <v>1</v>
      </c>
      <c r="C31">
        <v>0</v>
      </c>
      <c r="D31">
        <v>2</v>
      </c>
      <c r="E31">
        <v>1</v>
      </c>
      <c r="F31">
        <v>0</v>
      </c>
      <c r="G31">
        <v>4</v>
      </c>
      <c r="H31">
        <v>0</v>
      </c>
      <c r="I31">
        <v>0</v>
      </c>
      <c r="J31">
        <v>1</v>
      </c>
      <c r="K31">
        <v>1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x14ac:dyDescent="0.25">
      <c r="A32" t="s">
        <v>194</v>
      </c>
      <c r="B32">
        <v>0</v>
      </c>
      <c r="C32">
        <v>0</v>
      </c>
      <c r="D32">
        <v>4</v>
      </c>
      <c r="E32">
        <v>1</v>
      </c>
      <c r="F32">
        <v>0</v>
      </c>
      <c r="G32">
        <v>4</v>
      </c>
      <c r="H32">
        <v>0</v>
      </c>
      <c r="I32">
        <v>0</v>
      </c>
      <c r="J32">
        <v>1</v>
      </c>
      <c r="K32">
        <v>1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</row>
    <row r="33" spans="1:19" x14ac:dyDescent="0.25">
      <c r="A33" t="s">
        <v>195</v>
      </c>
      <c r="B33">
        <v>1</v>
      </c>
      <c r="C33">
        <v>0</v>
      </c>
      <c r="D33">
        <v>4</v>
      </c>
      <c r="E33">
        <v>1</v>
      </c>
      <c r="F33">
        <v>0</v>
      </c>
      <c r="G33">
        <v>4</v>
      </c>
      <c r="H33">
        <v>0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</row>
    <row r="34" spans="1:19" x14ac:dyDescent="0.25">
      <c r="A34" s="1" t="s">
        <v>629</v>
      </c>
      <c r="B34" s="1">
        <f>SUM(B3:B33)</f>
        <v>11</v>
      </c>
      <c r="C34" s="1">
        <f t="shared" ref="C34:S34" si="0">SUM(C3:C33)</f>
        <v>0</v>
      </c>
      <c r="D34" s="1">
        <f t="shared" si="0"/>
        <v>19</v>
      </c>
      <c r="E34" s="1">
        <f t="shared" si="0"/>
        <v>23</v>
      </c>
      <c r="F34" s="1">
        <f t="shared" si="0"/>
        <v>0</v>
      </c>
      <c r="G34" s="1">
        <f t="shared" si="0"/>
        <v>57</v>
      </c>
      <c r="H34" s="1">
        <f t="shared" si="0"/>
        <v>9</v>
      </c>
      <c r="I34" s="1">
        <f t="shared" si="0"/>
        <v>0</v>
      </c>
      <c r="J34" s="1">
        <f t="shared" si="0"/>
        <v>13</v>
      </c>
      <c r="K34" s="1">
        <f t="shared" si="0"/>
        <v>26</v>
      </c>
      <c r="L34" s="1">
        <f t="shared" si="0"/>
        <v>0</v>
      </c>
      <c r="M34" s="1">
        <f t="shared" si="0"/>
        <v>24</v>
      </c>
      <c r="N34" s="1">
        <f t="shared" si="0"/>
        <v>28</v>
      </c>
      <c r="O34" s="1">
        <f t="shared" si="0"/>
        <v>0</v>
      </c>
      <c r="P34" s="1">
        <f t="shared" si="0"/>
        <v>0</v>
      </c>
      <c r="Q34" s="1">
        <f t="shared" si="0"/>
        <v>1</v>
      </c>
      <c r="R34" s="1">
        <f t="shared" si="0"/>
        <v>11</v>
      </c>
      <c r="S34" s="1">
        <f t="shared" si="0"/>
        <v>29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1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8.3333333333333329E-2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0.36666666666666664</v>
      </c>
      <c r="C36" s="4"/>
      <c r="D36" s="4"/>
      <c r="E36" s="4">
        <f t="shared" ref="E36" si="6" xml:space="preserve"> E34 / (E34 + G34)</f>
        <v>0.28749999999999998</v>
      </c>
      <c r="F36" s="4"/>
      <c r="G36" s="4"/>
      <c r="H36" s="4">
        <f t="shared" ref="H36" si="7" xml:space="preserve"> H34 / (H34 + J34)</f>
        <v>0.40909090909090912</v>
      </c>
      <c r="I36" s="4"/>
      <c r="J36" s="4"/>
      <c r="K36" s="4">
        <f t="shared" ref="K36" si="8" xml:space="preserve"> K34 / (K34 + M34)</f>
        <v>0.52</v>
      </c>
      <c r="L36" s="4"/>
      <c r="M36" s="4"/>
      <c r="N36" s="4">
        <f t="shared" ref="N36" si="9" xml:space="preserve"> N34 / (N34 + P34)</f>
        <v>1</v>
      </c>
      <c r="O36" s="4"/>
      <c r="P36" s="4"/>
      <c r="Q36" s="4">
        <f t="shared" ref="Q36" si="10" xml:space="preserve"> Q34 / (Q34 + S34)</f>
        <v>3.3333333333333333E-2</v>
      </c>
      <c r="R36" s="4"/>
      <c r="S36" s="4"/>
    </row>
  </sheetData>
  <mergeCells count="18">
    <mergeCell ref="B36:D36"/>
    <mergeCell ref="E36:G36"/>
    <mergeCell ref="H36:J36"/>
    <mergeCell ref="K36:M36"/>
    <mergeCell ref="N36:P36"/>
    <mergeCell ref="Q36:S36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D61D-4EB8-4FF6-A988-B01B4B8C1438}">
  <dimension ref="A1:S36"/>
  <sheetViews>
    <sheetView workbookViewId="0">
      <selection activeCell="A34" sqref="A34:S36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196</v>
      </c>
      <c r="B3">
        <v>1</v>
      </c>
      <c r="C3">
        <v>0</v>
      </c>
      <c r="D3">
        <v>4</v>
      </c>
      <c r="E3">
        <v>1</v>
      </c>
      <c r="F3">
        <v>0</v>
      </c>
      <c r="G3">
        <v>4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25">
      <c r="A4" t="s">
        <v>197</v>
      </c>
      <c r="B4">
        <v>0</v>
      </c>
      <c r="C4">
        <v>0</v>
      </c>
      <c r="D4">
        <v>4</v>
      </c>
      <c r="E4">
        <v>0</v>
      </c>
      <c r="F4">
        <v>0</v>
      </c>
      <c r="G4">
        <v>5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</row>
    <row r="5" spans="1:19" x14ac:dyDescent="0.25">
      <c r="A5" t="s">
        <v>198</v>
      </c>
      <c r="B5">
        <v>2</v>
      </c>
      <c r="C5">
        <v>0</v>
      </c>
      <c r="D5">
        <v>1</v>
      </c>
      <c r="E5">
        <v>1</v>
      </c>
      <c r="F5">
        <v>0</v>
      </c>
      <c r="G5">
        <v>4</v>
      </c>
      <c r="H5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</row>
    <row r="6" spans="1:19" x14ac:dyDescent="0.25">
      <c r="A6" t="s">
        <v>199</v>
      </c>
      <c r="B6">
        <v>0</v>
      </c>
      <c r="C6">
        <v>0</v>
      </c>
      <c r="D6">
        <v>2</v>
      </c>
      <c r="E6">
        <v>0</v>
      </c>
      <c r="F6">
        <v>0</v>
      </c>
      <c r="G6">
        <v>5</v>
      </c>
      <c r="H6">
        <v>1</v>
      </c>
      <c r="I6">
        <v>0</v>
      </c>
      <c r="J6">
        <v>0</v>
      </c>
      <c r="K6">
        <v>1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</row>
    <row r="7" spans="1:19" x14ac:dyDescent="0.25">
      <c r="A7" t="s">
        <v>200</v>
      </c>
      <c r="B7">
        <v>1</v>
      </c>
      <c r="C7">
        <v>0</v>
      </c>
      <c r="D7">
        <v>0</v>
      </c>
      <c r="E7">
        <v>1</v>
      </c>
      <c r="F7">
        <v>0</v>
      </c>
      <c r="G7">
        <v>4</v>
      </c>
      <c r="H7">
        <v>1</v>
      </c>
      <c r="I7">
        <v>0</v>
      </c>
      <c r="J7">
        <v>0</v>
      </c>
      <c r="K7">
        <v>1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</row>
    <row r="8" spans="1:19" x14ac:dyDescent="0.25">
      <c r="A8" t="s">
        <v>201</v>
      </c>
      <c r="B8">
        <v>0</v>
      </c>
      <c r="C8">
        <v>0</v>
      </c>
      <c r="D8">
        <v>0</v>
      </c>
      <c r="E8">
        <v>1</v>
      </c>
      <c r="F8">
        <v>0</v>
      </c>
      <c r="G8">
        <v>4</v>
      </c>
      <c r="H8">
        <v>1</v>
      </c>
      <c r="I8">
        <v>0</v>
      </c>
      <c r="J8">
        <v>0</v>
      </c>
      <c r="K8">
        <v>1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</row>
    <row r="9" spans="1:19" x14ac:dyDescent="0.25">
      <c r="A9" t="s">
        <v>202</v>
      </c>
      <c r="B9">
        <v>0</v>
      </c>
      <c r="C9">
        <v>0</v>
      </c>
      <c r="D9">
        <v>0</v>
      </c>
      <c r="E9">
        <v>1</v>
      </c>
      <c r="F9">
        <v>0</v>
      </c>
      <c r="G9">
        <v>3</v>
      </c>
      <c r="H9">
        <v>1</v>
      </c>
      <c r="I9">
        <v>0</v>
      </c>
      <c r="J9">
        <v>0</v>
      </c>
      <c r="K9">
        <v>1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</row>
    <row r="10" spans="1:19" x14ac:dyDescent="0.25">
      <c r="A10" t="s">
        <v>203</v>
      </c>
      <c r="B10">
        <v>0</v>
      </c>
      <c r="C10">
        <v>0</v>
      </c>
      <c r="D10">
        <v>0</v>
      </c>
      <c r="E10">
        <v>0</v>
      </c>
      <c r="F10">
        <v>0</v>
      </c>
      <c r="G10">
        <v>3</v>
      </c>
      <c r="H10">
        <v>1</v>
      </c>
      <c r="I10">
        <v>0</v>
      </c>
      <c r="J10">
        <v>0</v>
      </c>
      <c r="K10">
        <v>1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</row>
    <row r="11" spans="1:19" x14ac:dyDescent="0.25">
      <c r="A11" t="s">
        <v>204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1</v>
      </c>
      <c r="I11">
        <v>0</v>
      </c>
      <c r="J11">
        <v>0</v>
      </c>
      <c r="K11">
        <v>1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 x14ac:dyDescent="0.25">
      <c r="A12" t="s">
        <v>205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19" x14ac:dyDescent="0.25">
      <c r="A13" t="s">
        <v>206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 x14ac:dyDescent="0.25">
      <c r="A14" t="s">
        <v>207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208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25">
      <c r="A16" t="s">
        <v>209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210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211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212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213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214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25">
      <c r="A22" t="s">
        <v>215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 x14ac:dyDescent="0.25">
      <c r="A23" t="s">
        <v>216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 t="s">
        <v>217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 x14ac:dyDescent="0.25">
      <c r="A25" t="s">
        <v>218</v>
      </c>
      <c r="B25">
        <v>0</v>
      </c>
      <c r="C25">
        <v>0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  <c r="J25">
        <v>1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x14ac:dyDescent="0.25">
      <c r="A26" t="s">
        <v>219</v>
      </c>
      <c r="B26">
        <v>0</v>
      </c>
      <c r="C26">
        <v>0</v>
      </c>
      <c r="D26">
        <v>0</v>
      </c>
      <c r="E26">
        <v>0</v>
      </c>
      <c r="F26">
        <v>0</v>
      </c>
      <c r="G26">
        <v>3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220</v>
      </c>
      <c r="B27">
        <v>0</v>
      </c>
      <c r="C27">
        <v>0</v>
      </c>
      <c r="D27">
        <v>0</v>
      </c>
      <c r="E27">
        <v>0</v>
      </c>
      <c r="F27">
        <v>0</v>
      </c>
      <c r="G27">
        <v>4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 x14ac:dyDescent="0.25">
      <c r="A28" t="s">
        <v>221</v>
      </c>
      <c r="B28">
        <v>0</v>
      </c>
      <c r="C28">
        <v>0</v>
      </c>
      <c r="D28">
        <v>0</v>
      </c>
      <c r="E28">
        <v>0</v>
      </c>
      <c r="F28">
        <v>0</v>
      </c>
      <c r="G28">
        <v>5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</row>
    <row r="29" spans="1:19" x14ac:dyDescent="0.25">
      <c r="A29" t="s">
        <v>222</v>
      </c>
      <c r="B29">
        <v>0</v>
      </c>
      <c r="C29">
        <v>0</v>
      </c>
      <c r="D29">
        <v>1</v>
      </c>
      <c r="E29">
        <v>0</v>
      </c>
      <c r="F29">
        <v>0</v>
      </c>
      <c r="G29">
        <v>5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 x14ac:dyDescent="0.25">
      <c r="A30" t="s">
        <v>223</v>
      </c>
      <c r="B30">
        <v>0</v>
      </c>
      <c r="C30">
        <v>0</v>
      </c>
      <c r="D30">
        <v>2</v>
      </c>
      <c r="E30">
        <v>0</v>
      </c>
      <c r="F30">
        <v>0</v>
      </c>
      <c r="G30">
        <v>5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</row>
    <row r="31" spans="1:19" x14ac:dyDescent="0.25">
      <c r="A31" t="s">
        <v>224</v>
      </c>
      <c r="B31">
        <v>1</v>
      </c>
      <c r="C31">
        <v>0</v>
      </c>
      <c r="D31">
        <v>2</v>
      </c>
      <c r="E31">
        <v>0</v>
      </c>
      <c r="F31">
        <v>0</v>
      </c>
      <c r="G31">
        <v>5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x14ac:dyDescent="0.25">
      <c r="A32" t="s">
        <v>225</v>
      </c>
      <c r="B32">
        <v>1</v>
      </c>
      <c r="C32">
        <v>0</v>
      </c>
      <c r="D32">
        <v>3</v>
      </c>
      <c r="E32">
        <v>0</v>
      </c>
      <c r="F32">
        <v>0</v>
      </c>
      <c r="G32">
        <v>5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</row>
    <row r="33" spans="1:19" x14ac:dyDescent="0.25">
      <c r="A33" t="s">
        <v>226</v>
      </c>
      <c r="B33">
        <v>1</v>
      </c>
      <c r="C33">
        <v>0</v>
      </c>
      <c r="D33">
        <v>4</v>
      </c>
      <c r="E33">
        <v>0</v>
      </c>
      <c r="F33">
        <v>0</v>
      </c>
      <c r="G33">
        <v>5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</row>
    <row r="34" spans="1:19" x14ac:dyDescent="0.25">
      <c r="A34" s="1" t="s">
        <v>629</v>
      </c>
      <c r="B34" s="1">
        <f>SUM(B3:B33)</f>
        <v>7</v>
      </c>
      <c r="C34" s="1">
        <f t="shared" ref="C34:S34" si="0">SUM(C3:C33)</f>
        <v>0</v>
      </c>
      <c r="D34" s="1">
        <f t="shared" si="0"/>
        <v>23</v>
      </c>
      <c r="E34" s="1">
        <f t="shared" si="0"/>
        <v>8</v>
      </c>
      <c r="F34" s="1">
        <f t="shared" si="0"/>
        <v>0</v>
      </c>
      <c r="G34" s="1">
        <f t="shared" si="0"/>
        <v>72</v>
      </c>
      <c r="H34" s="1">
        <f t="shared" si="0"/>
        <v>10</v>
      </c>
      <c r="I34" s="1">
        <f t="shared" si="0"/>
        <v>0</v>
      </c>
      <c r="J34" s="1">
        <f t="shared" si="0"/>
        <v>12</v>
      </c>
      <c r="K34" s="1">
        <f t="shared" si="0"/>
        <v>38</v>
      </c>
      <c r="L34" s="1">
        <f t="shared" si="0"/>
        <v>0</v>
      </c>
      <c r="M34" s="1">
        <f t="shared" si="0"/>
        <v>12</v>
      </c>
      <c r="N34" s="1">
        <f t="shared" si="0"/>
        <v>28</v>
      </c>
      <c r="O34" s="1">
        <f t="shared" si="0"/>
        <v>0</v>
      </c>
      <c r="P34" s="1">
        <f t="shared" si="0"/>
        <v>0</v>
      </c>
      <c r="Q34" s="1">
        <f t="shared" si="0"/>
        <v>0</v>
      </c>
      <c r="R34" s="1">
        <f t="shared" si="0"/>
        <v>0</v>
      </c>
      <c r="S34" s="1">
        <f t="shared" si="0"/>
        <v>30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1</v>
      </c>
      <c r="L35" s="4"/>
      <c r="M35" s="4"/>
      <c r="N35" s="4">
        <f t="shared" ref="N35" si="4">N34 / (N34 + O34)</f>
        <v>1</v>
      </c>
      <c r="O35" s="4"/>
      <c r="P35" s="4"/>
      <c r="Q35" s="4" t="e">
        <f t="shared" ref="Q35" si="5">Q34 / (Q34 + R34)</f>
        <v>#DIV/0!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0.23333333333333334</v>
      </c>
      <c r="C36" s="4"/>
      <c r="D36" s="4"/>
      <c r="E36" s="4">
        <f t="shared" ref="E36" si="6" xml:space="preserve"> E34 / (E34 + G34)</f>
        <v>0.1</v>
      </c>
      <c r="F36" s="4"/>
      <c r="G36" s="4"/>
      <c r="H36" s="4">
        <f t="shared" ref="H36" si="7" xml:space="preserve"> H34 / (H34 + J34)</f>
        <v>0.45454545454545453</v>
      </c>
      <c r="I36" s="4"/>
      <c r="J36" s="4"/>
      <c r="K36" s="4">
        <f t="shared" ref="K36" si="8" xml:space="preserve"> K34 / (K34 + M34)</f>
        <v>0.76</v>
      </c>
      <c r="L36" s="4"/>
      <c r="M36" s="4"/>
      <c r="N36" s="4">
        <f t="shared" ref="N36" si="9" xml:space="preserve"> N34 / (N34 + P34)</f>
        <v>1</v>
      </c>
      <c r="O36" s="4"/>
      <c r="P36" s="4"/>
      <c r="Q36" s="4">
        <f t="shared" ref="Q36" si="10" xml:space="preserve"> Q34 / (Q34 + S34)</f>
        <v>0</v>
      </c>
      <c r="R36" s="4"/>
      <c r="S36" s="4"/>
    </row>
  </sheetData>
  <mergeCells count="18">
    <mergeCell ref="B36:D36"/>
    <mergeCell ref="E36:G36"/>
    <mergeCell ref="H36:J36"/>
    <mergeCell ref="K36:M36"/>
    <mergeCell ref="N36:P36"/>
    <mergeCell ref="Q36:S36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9F6D-F125-439F-8C45-DEF6DB805B66}">
  <dimension ref="A1:S36"/>
  <sheetViews>
    <sheetView workbookViewId="0">
      <selection activeCell="A34" sqref="A34:S36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227</v>
      </c>
      <c r="B3">
        <v>2</v>
      </c>
      <c r="C3">
        <v>0</v>
      </c>
      <c r="D3">
        <v>3</v>
      </c>
      <c r="E3">
        <v>0</v>
      </c>
      <c r="F3">
        <v>0</v>
      </c>
      <c r="G3">
        <v>5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25">
      <c r="A4" t="s">
        <v>228</v>
      </c>
      <c r="B4">
        <v>1</v>
      </c>
      <c r="C4">
        <v>0</v>
      </c>
      <c r="D4">
        <v>3</v>
      </c>
      <c r="E4">
        <v>0</v>
      </c>
      <c r="F4">
        <v>0</v>
      </c>
      <c r="G4">
        <v>5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</row>
    <row r="5" spans="1:19" x14ac:dyDescent="0.25">
      <c r="A5" t="s">
        <v>229</v>
      </c>
      <c r="B5">
        <v>1</v>
      </c>
      <c r="C5">
        <v>0</v>
      </c>
      <c r="D5">
        <v>2</v>
      </c>
      <c r="E5">
        <v>0</v>
      </c>
      <c r="F5">
        <v>0</v>
      </c>
      <c r="G5">
        <v>5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</row>
    <row r="6" spans="1:19" x14ac:dyDescent="0.25">
      <c r="A6" t="s">
        <v>230</v>
      </c>
      <c r="B6">
        <v>2</v>
      </c>
      <c r="C6">
        <v>0</v>
      </c>
      <c r="D6">
        <v>0</v>
      </c>
      <c r="E6">
        <v>0</v>
      </c>
      <c r="F6">
        <v>0</v>
      </c>
      <c r="G6">
        <v>5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</row>
    <row r="7" spans="1:19" x14ac:dyDescent="0.25">
      <c r="A7" t="s">
        <v>231</v>
      </c>
      <c r="B7">
        <v>1</v>
      </c>
      <c r="C7">
        <v>0</v>
      </c>
      <c r="D7">
        <v>0</v>
      </c>
      <c r="E7">
        <v>0</v>
      </c>
      <c r="F7">
        <v>0</v>
      </c>
      <c r="G7">
        <v>5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</row>
    <row r="8" spans="1:19" x14ac:dyDescent="0.25">
      <c r="A8" t="s">
        <v>232</v>
      </c>
      <c r="B8">
        <v>0</v>
      </c>
      <c r="C8">
        <v>0</v>
      </c>
      <c r="D8">
        <v>0</v>
      </c>
      <c r="E8">
        <v>0</v>
      </c>
      <c r="F8">
        <v>0</v>
      </c>
      <c r="G8">
        <v>5</v>
      </c>
      <c r="H8">
        <v>0</v>
      </c>
      <c r="I8">
        <v>0</v>
      </c>
      <c r="J8">
        <v>1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</row>
    <row r="9" spans="1:19" x14ac:dyDescent="0.25">
      <c r="A9" t="s">
        <v>233</v>
      </c>
      <c r="B9">
        <v>0</v>
      </c>
      <c r="C9">
        <v>0</v>
      </c>
      <c r="D9">
        <v>0</v>
      </c>
      <c r="E9">
        <v>1</v>
      </c>
      <c r="F9">
        <v>0</v>
      </c>
      <c r="G9">
        <v>3</v>
      </c>
      <c r="H9">
        <v>0</v>
      </c>
      <c r="I9">
        <v>0</v>
      </c>
      <c r="J9">
        <v>1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</row>
    <row r="10" spans="1:19" x14ac:dyDescent="0.25">
      <c r="A10" t="s">
        <v>234</v>
      </c>
      <c r="B10">
        <v>0</v>
      </c>
      <c r="C10">
        <v>0</v>
      </c>
      <c r="D10">
        <v>0</v>
      </c>
      <c r="E10">
        <v>0</v>
      </c>
      <c r="F10">
        <v>0</v>
      </c>
      <c r="G10">
        <v>3</v>
      </c>
      <c r="H10">
        <v>0</v>
      </c>
      <c r="I10">
        <v>0</v>
      </c>
      <c r="J10">
        <v>1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</row>
    <row r="11" spans="1:19" x14ac:dyDescent="0.25">
      <c r="A11" t="s">
        <v>235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1</v>
      </c>
      <c r="I11">
        <v>0</v>
      </c>
      <c r="J11">
        <v>0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 x14ac:dyDescent="0.25">
      <c r="A12" t="s">
        <v>236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19" x14ac:dyDescent="0.25">
      <c r="A13" t="s">
        <v>237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 x14ac:dyDescent="0.25">
      <c r="A14" t="s">
        <v>238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239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25">
      <c r="A16" t="s">
        <v>240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241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242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243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244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245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</row>
    <row r="22" spans="1:19" x14ac:dyDescent="0.25">
      <c r="A22" t="s">
        <v>246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</row>
    <row r="23" spans="1:19" x14ac:dyDescent="0.25">
      <c r="A23" t="s">
        <v>247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1</v>
      </c>
      <c r="S23">
        <v>1</v>
      </c>
    </row>
    <row r="24" spans="1:19" x14ac:dyDescent="0.25">
      <c r="A24" t="s">
        <v>248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1</v>
      </c>
      <c r="S24">
        <v>1</v>
      </c>
    </row>
    <row r="25" spans="1:19" x14ac:dyDescent="0.25">
      <c r="A25" t="s">
        <v>249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0</v>
      </c>
      <c r="I25">
        <v>0</v>
      </c>
      <c r="J25">
        <v>1</v>
      </c>
      <c r="K25">
        <v>2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x14ac:dyDescent="0.25">
      <c r="A26" t="s">
        <v>250</v>
      </c>
      <c r="B26">
        <v>0</v>
      </c>
      <c r="C26">
        <v>0</v>
      </c>
      <c r="D26">
        <v>0</v>
      </c>
      <c r="E26">
        <v>0</v>
      </c>
      <c r="F26">
        <v>0</v>
      </c>
      <c r="G26">
        <v>3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</row>
    <row r="27" spans="1:19" x14ac:dyDescent="0.25">
      <c r="A27" t="s">
        <v>251</v>
      </c>
      <c r="B27">
        <v>0</v>
      </c>
      <c r="C27">
        <v>0</v>
      </c>
      <c r="D27">
        <v>0</v>
      </c>
      <c r="E27">
        <v>2</v>
      </c>
      <c r="F27">
        <v>0</v>
      </c>
      <c r="G27">
        <v>2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</row>
    <row r="28" spans="1:19" x14ac:dyDescent="0.25">
      <c r="A28" t="s">
        <v>252</v>
      </c>
      <c r="B28">
        <v>0</v>
      </c>
      <c r="C28">
        <v>0</v>
      </c>
      <c r="D28">
        <v>0</v>
      </c>
      <c r="E28">
        <v>1</v>
      </c>
      <c r="F28">
        <v>0</v>
      </c>
      <c r="G28">
        <v>4</v>
      </c>
      <c r="H28">
        <v>0</v>
      </c>
      <c r="I28">
        <v>0</v>
      </c>
      <c r="J28">
        <v>1</v>
      </c>
      <c r="K28">
        <v>1</v>
      </c>
      <c r="L28">
        <v>1</v>
      </c>
      <c r="M28">
        <v>1</v>
      </c>
      <c r="N28">
        <v>0</v>
      </c>
      <c r="O28">
        <v>0</v>
      </c>
      <c r="P28">
        <v>1</v>
      </c>
      <c r="Q28">
        <v>0</v>
      </c>
      <c r="R28">
        <v>1</v>
      </c>
      <c r="S28">
        <v>1</v>
      </c>
    </row>
    <row r="29" spans="1:19" x14ac:dyDescent="0.25">
      <c r="A29" t="s">
        <v>253</v>
      </c>
      <c r="B29">
        <v>0</v>
      </c>
      <c r="C29">
        <v>0</v>
      </c>
      <c r="D29">
        <v>1</v>
      </c>
      <c r="E29">
        <v>1</v>
      </c>
      <c r="F29">
        <v>0</v>
      </c>
      <c r="G29">
        <v>4</v>
      </c>
      <c r="H29">
        <v>0</v>
      </c>
      <c r="I29">
        <v>0</v>
      </c>
      <c r="J29">
        <v>1</v>
      </c>
      <c r="K29">
        <v>2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</row>
    <row r="30" spans="1:19" x14ac:dyDescent="0.25">
      <c r="A30" t="s">
        <v>254</v>
      </c>
      <c r="B30">
        <v>0</v>
      </c>
      <c r="C30">
        <v>0</v>
      </c>
      <c r="D30">
        <v>2</v>
      </c>
      <c r="E30">
        <v>1</v>
      </c>
      <c r="F30">
        <v>0</v>
      </c>
      <c r="G30">
        <v>4</v>
      </c>
      <c r="H30">
        <v>0</v>
      </c>
      <c r="I30">
        <v>0</v>
      </c>
      <c r="J30">
        <v>1</v>
      </c>
      <c r="K30">
        <v>1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1</v>
      </c>
      <c r="S30">
        <v>1</v>
      </c>
    </row>
    <row r="31" spans="1:19" x14ac:dyDescent="0.25">
      <c r="A31" t="s">
        <v>255</v>
      </c>
      <c r="B31">
        <v>0</v>
      </c>
      <c r="C31">
        <v>0</v>
      </c>
      <c r="D31">
        <v>3</v>
      </c>
      <c r="E31">
        <v>1</v>
      </c>
      <c r="F31">
        <v>0</v>
      </c>
      <c r="G31">
        <v>4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</row>
    <row r="32" spans="1:19" x14ac:dyDescent="0.25">
      <c r="A32" t="s">
        <v>256</v>
      </c>
      <c r="B32">
        <v>1</v>
      </c>
      <c r="C32">
        <v>0</v>
      </c>
      <c r="D32">
        <v>3</v>
      </c>
      <c r="E32">
        <v>0</v>
      </c>
      <c r="F32">
        <v>0</v>
      </c>
      <c r="G32">
        <v>5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</row>
    <row r="33" spans="1:19" x14ac:dyDescent="0.25">
      <c r="A33" t="s">
        <v>257</v>
      </c>
      <c r="B33">
        <v>1</v>
      </c>
      <c r="C33">
        <v>0</v>
      </c>
      <c r="D33">
        <v>4</v>
      </c>
      <c r="E33">
        <v>0</v>
      </c>
      <c r="F33">
        <v>0</v>
      </c>
      <c r="G33">
        <v>5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</row>
    <row r="34" spans="1:19" x14ac:dyDescent="0.25">
      <c r="A34" s="1" t="s">
        <v>629</v>
      </c>
      <c r="B34" s="1">
        <f>SUM(B3:B33)</f>
        <v>9</v>
      </c>
      <c r="C34" s="1">
        <f t="shared" ref="C34:S34" si="0">SUM(C3:C33)</f>
        <v>0</v>
      </c>
      <c r="D34" s="1">
        <f t="shared" si="0"/>
        <v>21</v>
      </c>
      <c r="E34" s="1">
        <f t="shared" si="0"/>
        <v>7</v>
      </c>
      <c r="F34" s="1">
        <f t="shared" si="0"/>
        <v>0</v>
      </c>
      <c r="G34" s="1">
        <f t="shared" si="0"/>
        <v>73</v>
      </c>
      <c r="H34" s="1">
        <f t="shared" si="0"/>
        <v>2</v>
      </c>
      <c r="I34" s="1">
        <f t="shared" si="0"/>
        <v>0</v>
      </c>
      <c r="J34" s="1">
        <f t="shared" si="0"/>
        <v>20</v>
      </c>
      <c r="K34" s="1">
        <f t="shared" si="0"/>
        <v>41</v>
      </c>
      <c r="L34" s="1">
        <f t="shared" si="0"/>
        <v>10</v>
      </c>
      <c r="M34" s="1">
        <f t="shared" si="0"/>
        <v>9</v>
      </c>
      <c r="N34" s="1">
        <f t="shared" si="0"/>
        <v>16</v>
      </c>
      <c r="O34" s="1">
        <f t="shared" si="0"/>
        <v>0</v>
      </c>
      <c r="P34" s="1">
        <f t="shared" si="0"/>
        <v>12</v>
      </c>
      <c r="Q34" s="1">
        <f t="shared" si="0"/>
        <v>0</v>
      </c>
      <c r="R34" s="1">
        <f t="shared" si="0"/>
        <v>4</v>
      </c>
      <c r="S34" s="1">
        <f t="shared" si="0"/>
        <v>30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0.80392156862745101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0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0.3</v>
      </c>
      <c r="C36" s="4"/>
      <c r="D36" s="4"/>
      <c r="E36" s="4">
        <f t="shared" ref="E36" si="6" xml:space="preserve"> E34 / (E34 + G34)</f>
        <v>8.7499999999999994E-2</v>
      </c>
      <c r="F36" s="4"/>
      <c r="G36" s="4"/>
      <c r="H36" s="4">
        <f t="shared" ref="H36" si="7" xml:space="preserve"> H34 / (H34 + J34)</f>
        <v>9.0909090909090912E-2</v>
      </c>
      <c r="I36" s="4"/>
      <c r="J36" s="4"/>
      <c r="K36" s="4">
        <f t="shared" ref="K36" si="8" xml:space="preserve"> K34 / (K34 + M34)</f>
        <v>0.82</v>
      </c>
      <c r="L36" s="4"/>
      <c r="M36" s="4"/>
      <c r="N36" s="4">
        <f t="shared" ref="N36" si="9" xml:space="preserve"> N34 / (N34 + P34)</f>
        <v>0.5714285714285714</v>
      </c>
      <c r="O36" s="4"/>
      <c r="P36" s="4"/>
      <c r="Q36" s="4">
        <f t="shared" ref="Q36" si="10" xml:space="preserve"> Q34 / (Q34 + S34)</f>
        <v>0</v>
      </c>
      <c r="R36" s="4"/>
      <c r="S36" s="4"/>
    </row>
  </sheetData>
  <mergeCells count="18">
    <mergeCell ref="B36:D36"/>
    <mergeCell ref="E36:G36"/>
    <mergeCell ref="H36:J36"/>
    <mergeCell ref="K36:M36"/>
    <mergeCell ref="N36:P36"/>
    <mergeCell ref="Q36:S36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B283-13B2-49D9-8E2C-3DD8D74A7BFF}">
  <dimension ref="A1:S36"/>
  <sheetViews>
    <sheetView workbookViewId="0">
      <selection activeCell="A34" sqref="A34:S36"/>
    </sheetView>
  </sheetViews>
  <sheetFormatPr defaultRowHeight="15" x14ac:dyDescent="0.25"/>
  <cols>
    <col min="1" max="1" width="31.42578125" bestFit="1" customWidth="1"/>
  </cols>
  <sheetData>
    <row r="1" spans="1:19" x14ac:dyDescent="0.25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258</v>
      </c>
      <c r="B3">
        <v>0</v>
      </c>
      <c r="C3">
        <v>0</v>
      </c>
      <c r="D3">
        <v>5</v>
      </c>
      <c r="E3">
        <v>1</v>
      </c>
      <c r="F3">
        <v>0</v>
      </c>
      <c r="G3">
        <v>4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25">
      <c r="A4" t="s">
        <v>259</v>
      </c>
      <c r="B4">
        <v>0</v>
      </c>
      <c r="C4">
        <v>0</v>
      </c>
      <c r="D4">
        <v>4</v>
      </c>
      <c r="E4">
        <v>0</v>
      </c>
      <c r="F4">
        <v>0</v>
      </c>
      <c r="G4">
        <v>5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</row>
    <row r="5" spans="1:19" x14ac:dyDescent="0.25">
      <c r="A5" t="s">
        <v>260</v>
      </c>
      <c r="B5">
        <v>1</v>
      </c>
      <c r="C5">
        <v>0</v>
      </c>
      <c r="D5">
        <v>2</v>
      </c>
      <c r="E5">
        <v>1</v>
      </c>
      <c r="F5">
        <v>0</v>
      </c>
      <c r="G5">
        <v>4</v>
      </c>
      <c r="H5">
        <v>0</v>
      </c>
      <c r="I5">
        <v>0</v>
      </c>
      <c r="J5">
        <v>1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</row>
    <row r="6" spans="1:19" x14ac:dyDescent="0.25">
      <c r="A6" t="s">
        <v>261</v>
      </c>
      <c r="B6">
        <v>1</v>
      </c>
      <c r="C6">
        <v>0</v>
      </c>
      <c r="D6">
        <v>1</v>
      </c>
      <c r="E6">
        <v>1</v>
      </c>
      <c r="F6">
        <v>0</v>
      </c>
      <c r="G6">
        <v>4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</row>
    <row r="7" spans="1:19" x14ac:dyDescent="0.25">
      <c r="A7" t="s">
        <v>262</v>
      </c>
      <c r="B7">
        <v>0</v>
      </c>
      <c r="C7">
        <v>0</v>
      </c>
      <c r="D7">
        <v>1</v>
      </c>
      <c r="E7">
        <v>1</v>
      </c>
      <c r="F7">
        <v>0</v>
      </c>
      <c r="G7">
        <v>4</v>
      </c>
      <c r="H7">
        <v>0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</row>
    <row r="8" spans="1:19" x14ac:dyDescent="0.25">
      <c r="A8" t="s">
        <v>263</v>
      </c>
      <c r="B8">
        <v>0</v>
      </c>
      <c r="C8">
        <v>0</v>
      </c>
      <c r="D8">
        <v>0</v>
      </c>
      <c r="E8">
        <v>1</v>
      </c>
      <c r="F8">
        <v>0</v>
      </c>
      <c r="G8">
        <v>4</v>
      </c>
      <c r="H8">
        <v>0</v>
      </c>
      <c r="I8">
        <v>0</v>
      </c>
      <c r="J8">
        <v>1</v>
      </c>
      <c r="K8">
        <v>1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</row>
    <row r="9" spans="1:19" x14ac:dyDescent="0.25">
      <c r="A9" t="s">
        <v>264</v>
      </c>
      <c r="B9">
        <v>0</v>
      </c>
      <c r="C9">
        <v>0</v>
      </c>
      <c r="D9">
        <v>0</v>
      </c>
      <c r="E9">
        <v>2</v>
      </c>
      <c r="F9">
        <v>0</v>
      </c>
      <c r="G9">
        <v>2</v>
      </c>
      <c r="H9">
        <v>0</v>
      </c>
      <c r="I9">
        <v>0</v>
      </c>
      <c r="J9">
        <v>1</v>
      </c>
      <c r="K9">
        <v>1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</row>
    <row r="10" spans="1:19" x14ac:dyDescent="0.25">
      <c r="A10" t="s">
        <v>265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0</v>
      </c>
      <c r="I10">
        <v>0</v>
      </c>
      <c r="J10">
        <v>1</v>
      </c>
      <c r="K10">
        <v>1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</row>
    <row r="11" spans="1:19" x14ac:dyDescent="0.25">
      <c r="A11" t="s">
        <v>266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0</v>
      </c>
      <c r="I11">
        <v>0</v>
      </c>
      <c r="J11">
        <v>1</v>
      </c>
      <c r="K11">
        <v>1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 x14ac:dyDescent="0.25">
      <c r="A12" t="s">
        <v>267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19" x14ac:dyDescent="0.25">
      <c r="A13" t="s">
        <v>268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 x14ac:dyDescent="0.25">
      <c r="A14" t="s">
        <v>269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270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25">
      <c r="A16" t="s">
        <v>271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272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273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274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275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276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25">
      <c r="A22" t="s">
        <v>277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</row>
    <row r="23" spans="1:19" x14ac:dyDescent="0.25">
      <c r="A23" t="s">
        <v>278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1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 t="s">
        <v>279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 x14ac:dyDescent="0.25">
      <c r="A25" t="s">
        <v>280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x14ac:dyDescent="0.25">
      <c r="A26" t="s">
        <v>281</v>
      </c>
      <c r="B26">
        <v>0</v>
      </c>
      <c r="C26">
        <v>0</v>
      </c>
      <c r="D26">
        <v>0</v>
      </c>
      <c r="E26">
        <v>2</v>
      </c>
      <c r="F26">
        <v>0</v>
      </c>
      <c r="G26">
        <v>1</v>
      </c>
      <c r="H26">
        <v>1</v>
      </c>
      <c r="I26">
        <v>0</v>
      </c>
      <c r="J26">
        <v>0</v>
      </c>
      <c r="K26">
        <v>1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282</v>
      </c>
      <c r="B27">
        <v>0</v>
      </c>
      <c r="C27">
        <v>0</v>
      </c>
      <c r="D27">
        <v>0</v>
      </c>
      <c r="E27">
        <v>2</v>
      </c>
      <c r="F27">
        <v>1</v>
      </c>
      <c r="G27">
        <v>2</v>
      </c>
      <c r="H27">
        <v>1</v>
      </c>
      <c r="I27">
        <v>0</v>
      </c>
      <c r="J27">
        <v>0</v>
      </c>
      <c r="K27">
        <v>1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 x14ac:dyDescent="0.25">
      <c r="A28" t="s">
        <v>283</v>
      </c>
      <c r="B28">
        <v>0</v>
      </c>
      <c r="C28">
        <v>0</v>
      </c>
      <c r="D28">
        <v>0</v>
      </c>
      <c r="E28">
        <v>3</v>
      </c>
      <c r="F28">
        <v>1</v>
      </c>
      <c r="G28">
        <v>2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</row>
    <row r="29" spans="1:19" x14ac:dyDescent="0.25">
      <c r="A29" t="s">
        <v>284</v>
      </c>
      <c r="B29">
        <v>0</v>
      </c>
      <c r="C29">
        <v>0</v>
      </c>
      <c r="D29">
        <v>1</v>
      </c>
      <c r="E29">
        <v>3</v>
      </c>
      <c r="F29">
        <v>1</v>
      </c>
      <c r="G29">
        <v>2</v>
      </c>
      <c r="H29">
        <v>1</v>
      </c>
      <c r="I29">
        <v>0</v>
      </c>
      <c r="J29">
        <v>0</v>
      </c>
      <c r="K29">
        <v>1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 x14ac:dyDescent="0.25">
      <c r="A30" t="s">
        <v>285</v>
      </c>
      <c r="B30">
        <v>1</v>
      </c>
      <c r="C30">
        <v>0</v>
      </c>
      <c r="D30">
        <v>1</v>
      </c>
      <c r="E30">
        <v>3</v>
      </c>
      <c r="F30">
        <v>1</v>
      </c>
      <c r="G30">
        <v>2</v>
      </c>
      <c r="H30">
        <v>1</v>
      </c>
      <c r="I30">
        <v>0</v>
      </c>
      <c r="J30">
        <v>0</v>
      </c>
      <c r="K30">
        <v>1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</row>
    <row r="31" spans="1:19" x14ac:dyDescent="0.25">
      <c r="A31" t="s">
        <v>286</v>
      </c>
      <c r="B31">
        <v>0</v>
      </c>
      <c r="C31">
        <v>0</v>
      </c>
      <c r="D31">
        <v>3</v>
      </c>
      <c r="E31">
        <v>3</v>
      </c>
      <c r="F31">
        <v>1</v>
      </c>
      <c r="G31">
        <v>2</v>
      </c>
      <c r="H31">
        <v>0</v>
      </c>
      <c r="I31">
        <v>0</v>
      </c>
      <c r="J31">
        <v>1</v>
      </c>
      <c r="K31">
        <v>1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x14ac:dyDescent="0.25">
      <c r="A32" t="s">
        <v>287</v>
      </c>
      <c r="B32">
        <v>0</v>
      </c>
      <c r="C32">
        <v>0</v>
      </c>
      <c r="D32">
        <v>4</v>
      </c>
      <c r="E32">
        <v>3</v>
      </c>
      <c r="F32">
        <v>0</v>
      </c>
      <c r="G32">
        <v>2</v>
      </c>
      <c r="H32">
        <v>0</v>
      </c>
      <c r="I32">
        <v>0</v>
      </c>
      <c r="J32">
        <v>1</v>
      </c>
      <c r="K32">
        <v>1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</row>
    <row r="33" spans="1:19" x14ac:dyDescent="0.25">
      <c r="A33" t="s">
        <v>288</v>
      </c>
      <c r="B33">
        <v>0</v>
      </c>
      <c r="C33">
        <v>0</v>
      </c>
      <c r="D33">
        <v>5</v>
      </c>
      <c r="E33">
        <v>3</v>
      </c>
      <c r="F33">
        <v>0</v>
      </c>
      <c r="G33">
        <v>2</v>
      </c>
      <c r="H33">
        <v>0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</row>
    <row r="34" spans="1:19" x14ac:dyDescent="0.25">
      <c r="A34" s="1" t="s">
        <v>629</v>
      </c>
      <c r="B34" s="1">
        <f>SUM(B3:B33)</f>
        <v>3</v>
      </c>
      <c r="C34" s="1">
        <f t="shared" ref="C34:S34" si="0">SUM(C3:C33)</f>
        <v>0</v>
      </c>
      <c r="D34" s="1">
        <f t="shared" si="0"/>
        <v>27</v>
      </c>
      <c r="E34" s="1">
        <f t="shared" si="0"/>
        <v>34</v>
      </c>
      <c r="F34" s="1">
        <f t="shared" si="0"/>
        <v>5</v>
      </c>
      <c r="G34" s="1">
        <f t="shared" si="0"/>
        <v>46</v>
      </c>
      <c r="H34" s="1">
        <f t="shared" si="0"/>
        <v>8</v>
      </c>
      <c r="I34" s="1">
        <f t="shared" si="0"/>
        <v>0</v>
      </c>
      <c r="J34" s="1">
        <f t="shared" si="0"/>
        <v>14</v>
      </c>
      <c r="K34" s="1">
        <f t="shared" si="0"/>
        <v>28</v>
      </c>
      <c r="L34" s="1">
        <f t="shared" si="0"/>
        <v>1</v>
      </c>
      <c r="M34" s="1">
        <f t="shared" si="0"/>
        <v>22</v>
      </c>
      <c r="N34" s="1">
        <f t="shared" si="0"/>
        <v>27</v>
      </c>
      <c r="O34" s="1">
        <f t="shared" si="0"/>
        <v>0</v>
      </c>
      <c r="P34" s="1">
        <f t="shared" si="0"/>
        <v>1</v>
      </c>
      <c r="Q34" s="1">
        <f t="shared" si="0"/>
        <v>0</v>
      </c>
      <c r="R34" s="1">
        <f t="shared" si="0"/>
        <v>0</v>
      </c>
      <c r="S34" s="1">
        <f t="shared" si="0"/>
        <v>30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0.87179487179487181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0.96551724137931039</v>
      </c>
      <c r="L35" s="4"/>
      <c r="M35" s="4"/>
      <c r="N35" s="4">
        <f t="shared" ref="N35" si="4">N34 / (N34 + O34)</f>
        <v>1</v>
      </c>
      <c r="O35" s="4"/>
      <c r="P35" s="4"/>
      <c r="Q35" s="4" t="e">
        <f t="shared" ref="Q35" si="5">Q34 / (Q34 + R34)</f>
        <v>#DIV/0!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0.1</v>
      </c>
      <c r="C36" s="4"/>
      <c r="D36" s="4"/>
      <c r="E36" s="4">
        <f t="shared" ref="E36" si="6" xml:space="preserve"> E34 / (E34 + G34)</f>
        <v>0.42499999999999999</v>
      </c>
      <c r="F36" s="4"/>
      <c r="G36" s="4"/>
      <c r="H36" s="4">
        <f t="shared" ref="H36" si="7" xml:space="preserve"> H34 / (H34 + J34)</f>
        <v>0.36363636363636365</v>
      </c>
      <c r="I36" s="4"/>
      <c r="J36" s="4"/>
      <c r="K36" s="4">
        <f t="shared" ref="K36" si="8" xml:space="preserve"> K34 / (K34 + M34)</f>
        <v>0.56000000000000005</v>
      </c>
      <c r="L36" s="4"/>
      <c r="M36" s="4"/>
      <c r="N36" s="4">
        <f t="shared" ref="N36" si="9" xml:space="preserve"> N34 / (N34 + P34)</f>
        <v>0.9642857142857143</v>
      </c>
      <c r="O36" s="4"/>
      <c r="P36" s="4"/>
      <c r="Q36" s="4">
        <f t="shared" ref="Q36" si="10" xml:space="preserve"> Q34 / (Q34 + S34)</f>
        <v>0</v>
      </c>
      <c r="R36" s="4"/>
      <c r="S36" s="4"/>
    </row>
  </sheetData>
  <mergeCells count="18">
    <mergeCell ref="B36:D36"/>
    <mergeCell ref="E36:G36"/>
    <mergeCell ref="H36:J36"/>
    <mergeCell ref="K36:M36"/>
    <mergeCell ref="N36:P36"/>
    <mergeCell ref="Q36:S36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104B-F384-45C9-9120-C300404DEDE9}">
  <dimension ref="A1:S36"/>
  <sheetViews>
    <sheetView topLeftCell="A4" workbookViewId="0">
      <selection activeCell="A34" sqref="A34:S36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289</v>
      </c>
      <c r="B3">
        <v>0</v>
      </c>
      <c r="C3">
        <v>0</v>
      </c>
      <c r="D3">
        <v>5</v>
      </c>
      <c r="E3">
        <v>3</v>
      </c>
      <c r="F3">
        <v>0</v>
      </c>
      <c r="G3">
        <v>2</v>
      </c>
      <c r="H3">
        <v>1</v>
      </c>
      <c r="I3">
        <v>0</v>
      </c>
      <c r="J3">
        <v>0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25">
      <c r="A4" t="s">
        <v>290</v>
      </c>
      <c r="B4">
        <v>0</v>
      </c>
      <c r="C4">
        <v>0</v>
      </c>
      <c r="D4">
        <v>4</v>
      </c>
      <c r="E4">
        <v>2</v>
      </c>
      <c r="F4">
        <v>0</v>
      </c>
      <c r="G4">
        <v>3</v>
      </c>
      <c r="H4">
        <v>1</v>
      </c>
      <c r="I4">
        <v>0</v>
      </c>
      <c r="J4">
        <v>0</v>
      </c>
      <c r="K4">
        <v>2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</row>
    <row r="5" spans="1:19" x14ac:dyDescent="0.25">
      <c r="A5" t="s">
        <v>291</v>
      </c>
      <c r="B5">
        <v>1</v>
      </c>
      <c r="C5">
        <v>0</v>
      </c>
      <c r="D5">
        <v>2</v>
      </c>
      <c r="E5">
        <v>2</v>
      </c>
      <c r="F5">
        <v>0</v>
      </c>
      <c r="G5">
        <v>3</v>
      </c>
      <c r="H5">
        <v>1</v>
      </c>
      <c r="I5">
        <v>0</v>
      </c>
      <c r="J5">
        <v>0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</row>
    <row r="6" spans="1:19" x14ac:dyDescent="0.25">
      <c r="A6" t="s">
        <v>292</v>
      </c>
      <c r="B6">
        <v>1</v>
      </c>
      <c r="C6">
        <v>0</v>
      </c>
      <c r="D6">
        <v>1</v>
      </c>
      <c r="E6">
        <v>3</v>
      </c>
      <c r="F6">
        <v>0</v>
      </c>
      <c r="G6">
        <v>2</v>
      </c>
      <c r="H6">
        <v>1</v>
      </c>
      <c r="I6">
        <v>0</v>
      </c>
      <c r="J6">
        <v>0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</row>
    <row r="7" spans="1:19" x14ac:dyDescent="0.25">
      <c r="A7" t="s">
        <v>293</v>
      </c>
      <c r="B7">
        <v>0</v>
      </c>
      <c r="C7">
        <v>0</v>
      </c>
      <c r="D7">
        <v>1</v>
      </c>
      <c r="E7">
        <v>3</v>
      </c>
      <c r="F7">
        <v>0</v>
      </c>
      <c r="G7">
        <v>2</v>
      </c>
      <c r="H7">
        <v>1</v>
      </c>
      <c r="I7">
        <v>0</v>
      </c>
      <c r="J7">
        <v>0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</row>
    <row r="8" spans="1:19" x14ac:dyDescent="0.25">
      <c r="A8" t="s">
        <v>294</v>
      </c>
      <c r="B8">
        <v>0</v>
      </c>
      <c r="C8">
        <v>0</v>
      </c>
      <c r="D8">
        <v>0</v>
      </c>
      <c r="E8">
        <v>3</v>
      </c>
      <c r="F8">
        <v>0</v>
      </c>
      <c r="G8">
        <v>2</v>
      </c>
      <c r="H8">
        <v>1</v>
      </c>
      <c r="I8">
        <v>0</v>
      </c>
      <c r="J8">
        <v>0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</row>
    <row r="9" spans="1:19" x14ac:dyDescent="0.25">
      <c r="A9" t="s">
        <v>295</v>
      </c>
      <c r="B9">
        <v>0</v>
      </c>
      <c r="C9">
        <v>0</v>
      </c>
      <c r="D9">
        <v>0</v>
      </c>
      <c r="E9">
        <v>3</v>
      </c>
      <c r="F9">
        <v>0</v>
      </c>
      <c r="G9">
        <v>1</v>
      </c>
      <c r="H9">
        <v>1</v>
      </c>
      <c r="I9">
        <v>0</v>
      </c>
      <c r="J9">
        <v>0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</row>
    <row r="10" spans="1:19" x14ac:dyDescent="0.25">
      <c r="A10" t="s">
        <v>296</v>
      </c>
      <c r="B10">
        <v>0</v>
      </c>
      <c r="C10">
        <v>0</v>
      </c>
      <c r="D10">
        <v>0</v>
      </c>
      <c r="E10">
        <v>2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</row>
    <row r="11" spans="1:19" x14ac:dyDescent="0.25">
      <c r="A11" t="s">
        <v>297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1</v>
      </c>
      <c r="I11">
        <v>0</v>
      </c>
      <c r="J11">
        <v>0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 x14ac:dyDescent="0.25">
      <c r="A12" t="s">
        <v>298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19" x14ac:dyDescent="0.25">
      <c r="A13" t="s">
        <v>299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2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 x14ac:dyDescent="0.25">
      <c r="A14" t="s">
        <v>300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301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25">
      <c r="A16" t="s">
        <v>302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303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304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305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306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307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</row>
    <row r="22" spans="1:19" x14ac:dyDescent="0.25">
      <c r="A22" t="s">
        <v>308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</row>
    <row r="23" spans="1:19" x14ac:dyDescent="0.25">
      <c r="A23" t="s">
        <v>309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</row>
    <row r="24" spans="1:19" x14ac:dyDescent="0.25">
      <c r="A24" t="s">
        <v>310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</row>
    <row r="25" spans="1:19" x14ac:dyDescent="0.25">
      <c r="A25" t="s">
        <v>311</v>
      </c>
      <c r="B25">
        <v>0</v>
      </c>
      <c r="C25">
        <v>0</v>
      </c>
      <c r="D25">
        <v>0</v>
      </c>
      <c r="E25">
        <v>1</v>
      </c>
      <c r="F25">
        <v>0</v>
      </c>
      <c r="G25">
        <v>1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</row>
    <row r="26" spans="1:19" x14ac:dyDescent="0.25">
      <c r="A26" t="s">
        <v>312</v>
      </c>
      <c r="B26">
        <v>0</v>
      </c>
      <c r="C26">
        <v>0</v>
      </c>
      <c r="D26">
        <v>0</v>
      </c>
      <c r="E26">
        <v>1</v>
      </c>
      <c r="F26">
        <v>0</v>
      </c>
      <c r="G26">
        <v>2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</row>
    <row r="27" spans="1:19" x14ac:dyDescent="0.25">
      <c r="A27" t="s">
        <v>313</v>
      </c>
      <c r="B27">
        <v>0</v>
      </c>
      <c r="C27">
        <v>0</v>
      </c>
      <c r="D27">
        <v>0</v>
      </c>
      <c r="E27">
        <v>3</v>
      </c>
      <c r="F27">
        <v>0</v>
      </c>
      <c r="G27">
        <v>1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</row>
    <row r="28" spans="1:19" x14ac:dyDescent="0.25">
      <c r="A28" t="s">
        <v>314</v>
      </c>
      <c r="B28">
        <v>0</v>
      </c>
      <c r="C28">
        <v>0</v>
      </c>
      <c r="D28">
        <v>0</v>
      </c>
      <c r="E28">
        <v>4</v>
      </c>
      <c r="F28">
        <v>0</v>
      </c>
      <c r="G28">
        <v>1</v>
      </c>
      <c r="H28">
        <v>1</v>
      </c>
      <c r="I28">
        <v>0</v>
      </c>
      <c r="J28">
        <v>0</v>
      </c>
      <c r="K28">
        <v>2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</row>
    <row r="29" spans="1:19" x14ac:dyDescent="0.25">
      <c r="A29" t="s">
        <v>315</v>
      </c>
      <c r="B29">
        <v>1</v>
      </c>
      <c r="C29">
        <v>0</v>
      </c>
      <c r="D29">
        <v>0</v>
      </c>
      <c r="E29">
        <v>3</v>
      </c>
      <c r="F29">
        <v>0</v>
      </c>
      <c r="G29">
        <v>2</v>
      </c>
      <c r="H29">
        <v>1</v>
      </c>
      <c r="I29">
        <v>0</v>
      </c>
      <c r="J29">
        <v>0</v>
      </c>
      <c r="K29">
        <v>2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</row>
    <row r="30" spans="1:19" x14ac:dyDescent="0.25">
      <c r="A30" t="s">
        <v>316</v>
      </c>
      <c r="B30">
        <v>0</v>
      </c>
      <c r="C30">
        <v>0</v>
      </c>
      <c r="D30">
        <v>2</v>
      </c>
      <c r="E30">
        <v>3</v>
      </c>
      <c r="F30">
        <v>0</v>
      </c>
      <c r="G30">
        <v>2</v>
      </c>
      <c r="H30">
        <v>1</v>
      </c>
      <c r="I30">
        <v>0</v>
      </c>
      <c r="J30">
        <v>0</v>
      </c>
      <c r="K30">
        <v>2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</row>
    <row r="31" spans="1:19" x14ac:dyDescent="0.25">
      <c r="A31" t="s">
        <v>317</v>
      </c>
      <c r="B31">
        <v>0</v>
      </c>
      <c r="C31">
        <v>0</v>
      </c>
      <c r="D31">
        <v>3</v>
      </c>
      <c r="E31">
        <v>3</v>
      </c>
      <c r="F31">
        <v>0</v>
      </c>
      <c r="G31">
        <v>2</v>
      </c>
      <c r="H31">
        <v>1</v>
      </c>
      <c r="I31">
        <v>0</v>
      </c>
      <c r="J31">
        <v>0</v>
      </c>
      <c r="K31">
        <v>2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</row>
    <row r="32" spans="1:19" x14ac:dyDescent="0.25">
      <c r="A32" t="s">
        <v>318</v>
      </c>
      <c r="B32">
        <v>0</v>
      </c>
      <c r="C32">
        <v>0</v>
      </c>
      <c r="D32">
        <v>4</v>
      </c>
      <c r="E32">
        <v>2</v>
      </c>
      <c r="F32">
        <v>0</v>
      </c>
      <c r="G32">
        <v>3</v>
      </c>
      <c r="H32">
        <v>1</v>
      </c>
      <c r="I32">
        <v>0</v>
      </c>
      <c r="J32">
        <v>0</v>
      </c>
      <c r="K32">
        <v>2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</row>
    <row r="33" spans="1:19" x14ac:dyDescent="0.25">
      <c r="A33" t="s">
        <v>319</v>
      </c>
      <c r="B33">
        <v>0</v>
      </c>
      <c r="C33">
        <v>0</v>
      </c>
      <c r="D33">
        <v>5</v>
      </c>
      <c r="E33">
        <v>3</v>
      </c>
      <c r="F33">
        <v>0</v>
      </c>
      <c r="G33">
        <v>2</v>
      </c>
      <c r="H33">
        <v>1</v>
      </c>
      <c r="I33">
        <v>0</v>
      </c>
      <c r="J33">
        <v>0</v>
      </c>
      <c r="K33">
        <v>2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</row>
    <row r="34" spans="1:19" x14ac:dyDescent="0.25">
      <c r="A34" s="1" t="s">
        <v>629</v>
      </c>
      <c r="B34" s="1">
        <f>SUM(B3:B33)</f>
        <v>3</v>
      </c>
      <c r="C34" s="1">
        <f t="shared" ref="C34:S34" si="0">SUM(C3:C33)</f>
        <v>0</v>
      </c>
      <c r="D34" s="1">
        <f t="shared" si="0"/>
        <v>27</v>
      </c>
      <c r="E34" s="1">
        <f t="shared" si="0"/>
        <v>48</v>
      </c>
      <c r="F34" s="1">
        <f t="shared" si="0"/>
        <v>0</v>
      </c>
      <c r="G34" s="1">
        <f t="shared" si="0"/>
        <v>32</v>
      </c>
      <c r="H34" s="1">
        <f t="shared" si="0"/>
        <v>22</v>
      </c>
      <c r="I34" s="1">
        <f t="shared" si="0"/>
        <v>0</v>
      </c>
      <c r="J34" s="1">
        <f t="shared" si="0"/>
        <v>0</v>
      </c>
      <c r="K34" s="1">
        <f t="shared" si="0"/>
        <v>50</v>
      </c>
      <c r="L34" s="1">
        <f t="shared" si="0"/>
        <v>0</v>
      </c>
      <c r="M34" s="1">
        <f t="shared" si="0"/>
        <v>0</v>
      </c>
      <c r="N34" s="1">
        <f t="shared" si="0"/>
        <v>15</v>
      </c>
      <c r="O34" s="1">
        <f t="shared" si="0"/>
        <v>0</v>
      </c>
      <c r="P34" s="1">
        <f t="shared" si="0"/>
        <v>13</v>
      </c>
      <c r="Q34" s="1">
        <f t="shared" si="0"/>
        <v>0</v>
      </c>
      <c r="R34" s="1">
        <f t="shared" si="0"/>
        <v>0</v>
      </c>
      <c r="S34" s="1">
        <f t="shared" si="0"/>
        <v>30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1</v>
      </c>
      <c r="L35" s="4"/>
      <c r="M35" s="4"/>
      <c r="N35" s="4">
        <f t="shared" ref="N35" si="4">N34 / (N34 + O34)</f>
        <v>1</v>
      </c>
      <c r="O35" s="4"/>
      <c r="P35" s="4"/>
      <c r="Q35" s="4" t="e">
        <f t="shared" ref="Q35" si="5">Q34 / (Q34 + R34)</f>
        <v>#DIV/0!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0.1</v>
      </c>
      <c r="C36" s="4"/>
      <c r="D36" s="4"/>
      <c r="E36" s="4">
        <f t="shared" ref="E36" si="6" xml:space="preserve"> E34 / (E34 + G34)</f>
        <v>0.6</v>
      </c>
      <c r="F36" s="4"/>
      <c r="G36" s="4"/>
      <c r="H36" s="4">
        <f t="shared" ref="H36" si="7" xml:space="preserve"> H34 / (H34 + J34)</f>
        <v>1</v>
      </c>
      <c r="I36" s="4"/>
      <c r="J36" s="4"/>
      <c r="K36" s="4">
        <f t="shared" ref="K36" si="8" xml:space="preserve"> K34 / (K34 + M34)</f>
        <v>1</v>
      </c>
      <c r="L36" s="4"/>
      <c r="M36" s="4"/>
      <c r="N36" s="4">
        <f t="shared" ref="N36" si="9" xml:space="preserve"> N34 / (N34 + P34)</f>
        <v>0.5357142857142857</v>
      </c>
      <c r="O36" s="4"/>
      <c r="P36" s="4"/>
      <c r="Q36" s="4">
        <f t="shared" ref="Q36" si="10" xml:space="preserve"> Q34 / (Q34 + S34)</f>
        <v>0</v>
      </c>
      <c r="R36" s="4"/>
      <c r="S36" s="4"/>
    </row>
  </sheetData>
  <mergeCells count="18">
    <mergeCell ref="B36:D36"/>
    <mergeCell ref="E36:G36"/>
    <mergeCell ref="H36:J36"/>
    <mergeCell ref="K36:M36"/>
    <mergeCell ref="N36:P36"/>
    <mergeCell ref="Q36:S36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BFC0-14E3-4B57-86D2-CFE88C543122}">
  <dimension ref="A1:S36"/>
  <sheetViews>
    <sheetView workbookViewId="0">
      <selection activeCell="A34" sqref="A34:S36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320</v>
      </c>
      <c r="B3">
        <v>1</v>
      </c>
      <c r="C3">
        <v>0</v>
      </c>
      <c r="D3">
        <v>4</v>
      </c>
      <c r="E3">
        <v>1</v>
      </c>
      <c r="F3">
        <v>0</v>
      </c>
      <c r="G3">
        <v>4</v>
      </c>
      <c r="H3">
        <v>1</v>
      </c>
      <c r="I3">
        <v>0</v>
      </c>
      <c r="J3">
        <v>0</v>
      </c>
      <c r="K3">
        <v>2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</row>
    <row r="4" spans="1:19" x14ac:dyDescent="0.25">
      <c r="A4" t="s">
        <v>321</v>
      </c>
      <c r="B4">
        <v>1</v>
      </c>
      <c r="C4">
        <v>0</v>
      </c>
      <c r="D4">
        <v>3</v>
      </c>
      <c r="E4">
        <v>1</v>
      </c>
      <c r="F4">
        <v>0</v>
      </c>
      <c r="G4">
        <v>4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</row>
    <row r="5" spans="1:19" x14ac:dyDescent="0.25">
      <c r="A5" t="s">
        <v>322</v>
      </c>
      <c r="B5">
        <v>2</v>
      </c>
      <c r="C5">
        <v>0</v>
      </c>
      <c r="D5">
        <v>1</v>
      </c>
      <c r="E5">
        <v>1</v>
      </c>
      <c r="F5">
        <v>0</v>
      </c>
      <c r="G5">
        <v>4</v>
      </c>
      <c r="H5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</row>
    <row r="6" spans="1:19" x14ac:dyDescent="0.25">
      <c r="A6" t="s">
        <v>323</v>
      </c>
      <c r="B6">
        <v>1</v>
      </c>
      <c r="C6">
        <v>0</v>
      </c>
      <c r="D6">
        <v>1</v>
      </c>
      <c r="E6">
        <v>1</v>
      </c>
      <c r="F6">
        <v>0</v>
      </c>
      <c r="G6">
        <v>4</v>
      </c>
      <c r="H6">
        <v>1</v>
      </c>
      <c r="I6">
        <v>0</v>
      </c>
      <c r="J6">
        <v>0</v>
      </c>
      <c r="K6">
        <v>2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</row>
    <row r="7" spans="1:19" x14ac:dyDescent="0.25">
      <c r="A7" t="s">
        <v>324</v>
      </c>
      <c r="B7">
        <v>1</v>
      </c>
      <c r="C7">
        <v>0</v>
      </c>
      <c r="D7">
        <v>0</v>
      </c>
      <c r="E7">
        <v>1</v>
      </c>
      <c r="F7">
        <v>0</v>
      </c>
      <c r="G7">
        <v>4</v>
      </c>
      <c r="H7">
        <v>1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</row>
    <row r="8" spans="1:19" x14ac:dyDescent="0.25">
      <c r="A8" t="s">
        <v>325</v>
      </c>
      <c r="B8">
        <v>0</v>
      </c>
      <c r="C8">
        <v>0</v>
      </c>
      <c r="D8">
        <v>0</v>
      </c>
      <c r="E8">
        <v>1</v>
      </c>
      <c r="F8">
        <v>0</v>
      </c>
      <c r="G8">
        <v>4</v>
      </c>
      <c r="H8">
        <v>1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</row>
    <row r="9" spans="1:19" x14ac:dyDescent="0.25">
      <c r="A9" t="s">
        <v>326</v>
      </c>
      <c r="B9">
        <v>0</v>
      </c>
      <c r="C9">
        <v>0</v>
      </c>
      <c r="D9">
        <v>0</v>
      </c>
      <c r="E9">
        <v>1</v>
      </c>
      <c r="F9">
        <v>0</v>
      </c>
      <c r="G9">
        <v>3</v>
      </c>
      <c r="H9">
        <v>1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</row>
    <row r="10" spans="1:19" x14ac:dyDescent="0.25">
      <c r="A10" t="s">
        <v>327</v>
      </c>
      <c r="B10">
        <v>0</v>
      </c>
      <c r="C10">
        <v>0</v>
      </c>
      <c r="D10">
        <v>0</v>
      </c>
      <c r="E10">
        <v>2</v>
      </c>
      <c r="F10">
        <v>0</v>
      </c>
      <c r="G10">
        <v>1</v>
      </c>
      <c r="H10">
        <v>1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</row>
    <row r="11" spans="1:19" x14ac:dyDescent="0.25">
      <c r="A11" t="s">
        <v>328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1</v>
      </c>
      <c r="I11">
        <v>0</v>
      </c>
      <c r="J11">
        <v>0</v>
      </c>
      <c r="K11">
        <v>2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</row>
    <row r="12" spans="1:19" x14ac:dyDescent="0.25">
      <c r="A12" t="s">
        <v>329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2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</row>
    <row r="13" spans="1:19" x14ac:dyDescent="0.25">
      <c r="A13" t="s">
        <v>330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2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</row>
    <row r="14" spans="1:19" x14ac:dyDescent="0.25">
      <c r="A14" t="s">
        <v>331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</row>
    <row r="15" spans="1:19" x14ac:dyDescent="0.25">
      <c r="A15" t="s">
        <v>332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</row>
    <row r="16" spans="1:19" x14ac:dyDescent="0.25">
      <c r="A16" t="s">
        <v>333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</row>
    <row r="17" spans="1:19" x14ac:dyDescent="0.25">
      <c r="A17" t="s">
        <v>334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335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336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337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338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25">
      <c r="A22" t="s">
        <v>339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1</v>
      </c>
      <c r="S22">
        <v>1</v>
      </c>
    </row>
    <row r="23" spans="1:19" x14ac:dyDescent="0.25">
      <c r="A23" t="s">
        <v>340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1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1</v>
      </c>
      <c r="S23">
        <v>1</v>
      </c>
    </row>
    <row r="24" spans="1:19" x14ac:dyDescent="0.25">
      <c r="A24" t="s">
        <v>341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1</v>
      </c>
      <c r="S24">
        <v>1</v>
      </c>
    </row>
    <row r="25" spans="1:19" x14ac:dyDescent="0.25">
      <c r="A25" t="s">
        <v>342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1</v>
      </c>
      <c r="S25">
        <v>1</v>
      </c>
    </row>
    <row r="26" spans="1:19" x14ac:dyDescent="0.25">
      <c r="A26" t="s">
        <v>343</v>
      </c>
      <c r="B26">
        <v>0</v>
      </c>
      <c r="C26">
        <v>0</v>
      </c>
      <c r="D26">
        <v>0</v>
      </c>
      <c r="E26">
        <v>0</v>
      </c>
      <c r="F26">
        <v>0</v>
      </c>
      <c r="G26">
        <v>3</v>
      </c>
      <c r="H26">
        <v>1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1</v>
      </c>
      <c r="S26">
        <v>1</v>
      </c>
    </row>
    <row r="27" spans="1:19" x14ac:dyDescent="0.25">
      <c r="A27" t="s">
        <v>344</v>
      </c>
      <c r="B27">
        <v>0</v>
      </c>
      <c r="C27">
        <v>0</v>
      </c>
      <c r="D27">
        <v>0</v>
      </c>
      <c r="E27">
        <v>1</v>
      </c>
      <c r="F27">
        <v>0</v>
      </c>
      <c r="G27">
        <v>3</v>
      </c>
      <c r="H27">
        <v>1</v>
      </c>
      <c r="I27">
        <v>0</v>
      </c>
      <c r="J27">
        <v>0</v>
      </c>
      <c r="K27">
        <v>1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1</v>
      </c>
      <c r="S27">
        <v>1</v>
      </c>
    </row>
    <row r="28" spans="1:19" x14ac:dyDescent="0.25">
      <c r="A28" t="s">
        <v>345</v>
      </c>
      <c r="B28">
        <v>0</v>
      </c>
      <c r="C28">
        <v>0</v>
      </c>
      <c r="D28">
        <v>0</v>
      </c>
      <c r="E28">
        <v>0</v>
      </c>
      <c r="F28">
        <v>0</v>
      </c>
      <c r="G28">
        <v>5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1</v>
      </c>
      <c r="S28">
        <v>1</v>
      </c>
    </row>
    <row r="29" spans="1:19" x14ac:dyDescent="0.25">
      <c r="A29" t="s">
        <v>346</v>
      </c>
      <c r="B29">
        <v>0</v>
      </c>
      <c r="C29">
        <v>0</v>
      </c>
      <c r="D29">
        <v>1</v>
      </c>
      <c r="E29">
        <v>0</v>
      </c>
      <c r="F29">
        <v>0</v>
      </c>
      <c r="G29">
        <v>5</v>
      </c>
      <c r="H29">
        <v>1</v>
      </c>
      <c r="I29">
        <v>0</v>
      </c>
      <c r="J29">
        <v>0</v>
      </c>
      <c r="K29">
        <v>1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1</v>
      </c>
      <c r="S29">
        <v>1</v>
      </c>
    </row>
    <row r="30" spans="1:19" x14ac:dyDescent="0.25">
      <c r="A30" t="s">
        <v>347</v>
      </c>
      <c r="B30">
        <v>0</v>
      </c>
      <c r="C30">
        <v>0</v>
      </c>
      <c r="D30">
        <v>2</v>
      </c>
      <c r="E30">
        <v>0</v>
      </c>
      <c r="F30">
        <v>0</v>
      </c>
      <c r="G30">
        <v>5</v>
      </c>
      <c r="H30">
        <v>1</v>
      </c>
      <c r="I30">
        <v>0</v>
      </c>
      <c r="J30">
        <v>0</v>
      </c>
      <c r="K30">
        <v>1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1</v>
      </c>
      <c r="S30">
        <v>1</v>
      </c>
    </row>
    <row r="31" spans="1:19" x14ac:dyDescent="0.25">
      <c r="A31" t="s">
        <v>348</v>
      </c>
      <c r="B31">
        <v>0</v>
      </c>
      <c r="C31">
        <v>0</v>
      </c>
      <c r="D31">
        <v>3</v>
      </c>
      <c r="E31">
        <v>0</v>
      </c>
      <c r="F31">
        <v>0</v>
      </c>
      <c r="G31">
        <v>5</v>
      </c>
      <c r="H31">
        <v>1</v>
      </c>
      <c r="I31">
        <v>0</v>
      </c>
      <c r="J31">
        <v>0</v>
      </c>
      <c r="K31">
        <v>1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1</v>
      </c>
      <c r="S31">
        <v>1</v>
      </c>
    </row>
    <row r="32" spans="1:19" x14ac:dyDescent="0.25">
      <c r="A32" t="s">
        <v>349</v>
      </c>
      <c r="B32">
        <v>0</v>
      </c>
      <c r="C32">
        <v>0</v>
      </c>
      <c r="D32">
        <v>4</v>
      </c>
      <c r="E32">
        <v>0</v>
      </c>
      <c r="F32">
        <v>0</v>
      </c>
      <c r="G32">
        <v>5</v>
      </c>
      <c r="H32">
        <v>1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1</v>
      </c>
      <c r="S32">
        <v>1</v>
      </c>
    </row>
    <row r="33" spans="1:19" x14ac:dyDescent="0.25">
      <c r="A33" t="s">
        <v>350</v>
      </c>
      <c r="B33">
        <v>0</v>
      </c>
      <c r="C33">
        <v>0</v>
      </c>
      <c r="D33">
        <v>5</v>
      </c>
      <c r="E33">
        <v>0</v>
      </c>
      <c r="F33">
        <v>0</v>
      </c>
      <c r="G33">
        <v>5</v>
      </c>
      <c r="H33">
        <v>1</v>
      </c>
      <c r="I33">
        <v>0</v>
      </c>
      <c r="J33">
        <v>0</v>
      </c>
      <c r="K33">
        <v>1</v>
      </c>
      <c r="L33">
        <v>0</v>
      </c>
      <c r="M33">
        <v>1</v>
      </c>
      <c r="N33">
        <v>0</v>
      </c>
      <c r="O33">
        <v>0</v>
      </c>
      <c r="P33">
        <v>1</v>
      </c>
      <c r="Q33">
        <v>0</v>
      </c>
      <c r="R33">
        <v>1</v>
      </c>
      <c r="S33">
        <v>1</v>
      </c>
    </row>
    <row r="34" spans="1:19" x14ac:dyDescent="0.25">
      <c r="A34" s="1" t="s">
        <v>629</v>
      </c>
      <c r="B34" s="1">
        <f>SUM(B3:B33)</f>
        <v>6</v>
      </c>
      <c r="C34" s="1">
        <f t="shared" ref="C34:S34" si="0">SUM(C3:C33)</f>
        <v>0</v>
      </c>
      <c r="D34" s="1">
        <f t="shared" si="0"/>
        <v>24</v>
      </c>
      <c r="E34" s="1">
        <f t="shared" si="0"/>
        <v>14</v>
      </c>
      <c r="F34" s="1">
        <f t="shared" si="0"/>
        <v>0</v>
      </c>
      <c r="G34" s="1">
        <f t="shared" si="0"/>
        <v>66</v>
      </c>
      <c r="H34" s="1">
        <f t="shared" si="0"/>
        <v>21</v>
      </c>
      <c r="I34" s="1">
        <f t="shared" si="0"/>
        <v>0</v>
      </c>
      <c r="J34" s="1">
        <f t="shared" si="0"/>
        <v>1</v>
      </c>
      <c r="K34" s="1">
        <f t="shared" si="0"/>
        <v>31</v>
      </c>
      <c r="L34" s="1">
        <f t="shared" si="0"/>
        <v>1</v>
      </c>
      <c r="M34" s="1">
        <f t="shared" si="0"/>
        <v>19</v>
      </c>
      <c r="N34" s="1">
        <f t="shared" si="0"/>
        <v>10</v>
      </c>
      <c r="O34" s="1">
        <f t="shared" si="0"/>
        <v>0</v>
      </c>
      <c r="P34" s="1">
        <f t="shared" si="0"/>
        <v>18</v>
      </c>
      <c r="Q34" s="1">
        <f t="shared" si="0"/>
        <v>0</v>
      </c>
      <c r="R34" s="1">
        <f t="shared" si="0"/>
        <v>12</v>
      </c>
      <c r="S34" s="1">
        <f t="shared" si="0"/>
        <v>30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0.96875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0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0.2</v>
      </c>
      <c r="C36" s="4"/>
      <c r="D36" s="4"/>
      <c r="E36" s="4">
        <f t="shared" ref="E36" si="6" xml:space="preserve"> E34 / (E34 + G34)</f>
        <v>0.17499999999999999</v>
      </c>
      <c r="F36" s="4"/>
      <c r="G36" s="4"/>
      <c r="H36" s="4">
        <f t="shared" ref="H36" si="7" xml:space="preserve"> H34 / (H34 + J34)</f>
        <v>0.95454545454545459</v>
      </c>
      <c r="I36" s="4"/>
      <c r="J36" s="4"/>
      <c r="K36" s="4">
        <f t="shared" ref="K36" si="8" xml:space="preserve"> K34 / (K34 + M34)</f>
        <v>0.62</v>
      </c>
      <c r="L36" s="4"/>
      <c r="M36" s="4"/>
      <c r="N36" s="4">
        <f t="shared" ref="N36" si="9" xml:space="preserve"> N34 / (N34 + P34)</f>
        <v>0.35714285714285715</v>
      </c>
      <c r="O36" s="4"/>
      <c r="P36" s="4"/>
      <c r="Q36" s="4">
        <f t="shared" ref="Q36" si="10" xml:space="preserve"> Q34 / (Q34 + S34)</f>
        <v>0</v>
      </c>
      <c r="R36" s="4"/>
      <c r="S36" s="4"/>
    </row>
  </sheetData>
  <mergeCells count="18">
    <mergeCell ref="B36:D36"/>
    <mergeCell ref="E36:G36"/>
    <mergeCell ref="H36:J36"/>
    <mergeCell ref="K36:M36"/>
    <mergeCell ref="N36:P36"/>
    <mergeCell ref="Q36:S36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C950-6592-44AC-805D-057CB5AEA4D7}">
  <dimension ref="A1:S36"/>
  <sheetViews>
    <sheetView topLeftCell="A13" workbookViewId="0">
      <selection activeCell="A34" sqref="A34:S36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351</v>
      </c>
      <c r="B3">
        <v>0</v>
      </c>
      <c r="C3">
        <v>0</v>
      </c>
      <c r="D3">
        <v>5</v>
      </c>
      <c r="E3">
        <v>1</v>
      </c>
      <c r="F3">
        <v>0</v>
      </c>
      <c r="G3">
        <v>4</v>
      </c>
      <c r="H3">
        <v>1</v>
      </c>
      <c r="I3">
        <v>0</v>
      </c>
      <c r="J3">
        <v>0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1</v>
      </c>
      <c r="S3">
        <v>1</v>
      </c>
    </row>
    <row r="4" spans="1:19" x14ac:dyDescent="0.25">
      <c r="A4" t="s">
        <v>352</v>
      </c>
      <c r="B4">
        <v>0</v>
      </c>
      <c r="C4">
        <v>0</v>
      </c>
      <c r="D4">
        <v>4</v>
      </c>
      <c r="E4">
        <v>1</v>
      </c>
      <c r="F4">
        <v>0</v>
      </c>
      <c r="G4">
        <v>4</v>
      </c>
      <c r="H4">
        <v>1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1</v>
      </c>
      <c r="S4">
        <v>1</v>
      </c>
    </row>
    <row r="5" spans="1:19" x14ac:dyDescent="0.25">
      <c r="A5" t="s">
        <v>353</v>
      </c>
      <c r="B5">
        <v>0</v>
      </c>
      <c r="C5">
        <v>0</v>
      </c>
      <c r="D5">
        <v>3</v>
      </c>
      <c r="E5">
        <v>1</v>
      </c>
      <c r="F5">
        <v>0</v>
      </c>
      <c r="G5">
        <v>4</v>
      </c>
      <c r="H5">
        <v>1</v>
      </c>
      <c r="I5">
        <v>0</v>
      </c>
      <c r="J5">
        <v>0</v>
      </c>
      <c r="K5">
        <v>1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</row>
    <row r="6" spans="1:19" x14ac:dyDescent="0.25">
      <c r="A6" t="s">
        <v>354</v>
      </c>
      <c r="B6">
        <v>1</v>
      </c>
      <c r="C6">
        <v>0</v>
      </c>
      <c r="D6">
        <v>1</v>
      </c>
      <c r="E6">
        <v>1</v>
      </c>
      <c r="F6">
        <v>0</v>
      </c>
      <c r="G6">
        <v>4</v>
      </c>
      <c r="H6">
        <v>1</v>
      </c>
      <c r="I6">
        <v>0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1</v>
      </c>
      <c r="S6">
        <v>1</v>
      </c>
    </row>
    <row r="7" spans="1:19" x14ac:dyDescent="0.25">
      <c r="A7" t="s">
        <v>355</v>
      </c>
      <c r="B7">
        <v>1</v>
      </c>
      <c r="C7">
        <v>0</v>
      </c>
      <c r="D7">
        <v>0</v>
      </c>
      <c r="E7">
        <v>1</v>
      </c>
      <c r="F7">
        <v>0</v>
      </c>
      <c r="G7">
        <v>4</v>
      </c>
      <c r="H7">
        <v>1</v>
      </c>
      <c r="I7">
        <v>0</v>
      </c>
      <c r="J7">
        <v>0</v>
      </c>
      <c r="K7">
        <v>2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>
        <v>1</v>
      </c>
    </row>
    <row r="8" spans="1:19" x14ac:dyDescent="0.25">
      <c r="A8" t="s">
        <v>356</v>
      </c>
      <c r="B8">
        <v>0</v>
      </c>
      <c r="C8">
        <v>0</v>
      </c>
      <c r="D8">
        <v>0</v>
      </c>
      <c r="E8">
        <v>0</v>
      </c>
      <c r="F8">
        <v>0</v>
      </c>
      <c r="G8">
        <v>5</v>
      </c>
      <c r="H8">
        <v>1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1</v>
      </c>
      <c r="S8">
        <v>1</v>
      </c>
    </row>
    <row r="9" spans="1:19" x14ac:dyDescent="0.25">
      <c r="A9" t="s">
        <v>357</v>
      </c>
      <c r="B9">
        <v>0</v>
      </c>
      <c r="C9">
        <v>0</v>
      </c>
      <c r="D9">
        <v>0</v>
      </c>
      <c r="E9">
        <v>0</v>
      </c>
      <c r="F9">
        <v>0</v>
      </c>
      <c r="G9">
        <v>4</v>
      </c>
      <c r="H9">
        <v>1</v>
      </c>
      <c r="I9">
        <v>0</v>
      </c>
      <c r="J9">
        <v>0</v>
      </c>
      <c r="K9">
        <v>1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1</v>
      </c>
      <c r="S9">
        <v>1</v>
      </c>
    </row>
    <row r="10" spans="1:19" x14ac:dyDescent="0.25">
      <c r="A10" t="s">
        <v>358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1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1</v>
      </c>
      <c r="S10">
        <v>1</v>
      </c>
    </row>
    <row r="11" spans="1:19" x14ac:dyDescent="0.25">
      <c r="A11" t="s">
        <v>359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  <c r="I11">
        <v>0</v>
      </c>
      <c r="J11">
        <v>0</v>
      </c>
      <c r="K11">
        <v>1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</row>
    <row r="12" spans="1:19" x14ac:dyDescent="0.25">
      <c r="A12" t="s">
        <v>360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1</v>
      </c>
      <c r="S12">
        <v>1</v>
      </c>
    </row>
    <row r="13" spans="1:19" x14ac:dyDescent="0.25">
      <c r="A13" t="s">
        <v>361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2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1</v>
      </c>
      <c r="S13">
        <v>1</v>
      </c>
    </row>
    <row r="14" spans="1:19" x14ac:dyDescent="0.25">
      <c r="A14" t="s">
        <v>362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1</v>
      </c>
    </row>
    <row r="15" spans="1:19" x14ac:dyDescent="0.25">
      <c r="A15" t="s">
        <v>363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</row>
    <row r="16" spans="1:19" x14ac:dyDescent="0.25">
      <c r="A16" t="s">
        <v>364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365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366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367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368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369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</row>
    <row r="22" spans="1:19" x14ac:dyDescent="0.25">
      <c r="A22" t="s">
        <v>370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</row>
    <row r="23" spans="1:19" x14ac:dyDescent="0.25">
      <c r="A23" t="s">
        <v>371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2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</row>
    <row r="24" spans="1:19" x14ac:dyDescent="0.25">
      <c r="A24" t="s">
        <v>372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2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</row>
    <row r="25" spans="1:19" x14ac:dyDescent="0.25">
      <c r="A25" t="s">
        <v>373</v>
      </c>
      <c r="B25">
        <v>0</v>
      </c>
      <c r="C25">
        <v>0</v>
      </c>
      <c r="D25">
        <v>0</v>
      </c>
      <c r="E25">
        <v>1</v>
      </c>
      <c r="F25">
        <v>0</v>
      </c>
      <c r="G25">
        <v>1</v>
      </c>
      <c r="H25">
        <v>1</v>
      </c>
      <c r="I25">
        <v>0</v>
      </c>
      <c r="J25">
        <v>0</v>
      </c>
      <c r="K25">
        <v>1</v>
      </c>
      <c r="L25">
        <v>1</v>
      </c>
      <c r="M25">
        <v>1</v>
      </c>
      <c r="N25">
        <v>0</v>
      </c>
      <c r="O25">
        <v>0</v>
      </c>
      <c r="P25">
        <v>1</v>
      </c>
      <c r="Q25">
        <v>0</v>
      </c>
      <c r="R25">
        <v>1</v>
      </c>
      <c r="S25">
        <v>1</v>
      </c>
    </row>
    <row r="26" spans="1:19" x14ac:dyDescent="0.25">
      <c r="A26" t="s">
        <v>374</v>
      </c>
      <c r="B26">
        <v>0</v>
      </c>
      <c r="C26">
        <v>0</v>
      </c>
      <c r="D26">
        <v>0</v>
      </c>
      <c r="E26">
        <v>1</v>
      </c>
      <c r="F26">
        <v>0</v>
      </c>
      <c r="G26">
        <v>2</v>
      </c>
      <c r="H26">
        <v>1</v>
      </c>
      <c r="I26">
        <v>0</v>
      </c>
      <c r="J26">
        <v>0</v>
      </c>
      <c r="K26">
        <v>2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</row>
    <row r="27" spans="1:19" x14ac:dyDescent="0.25">
      <c r="A27" t="s">
        <v>375</v>
      </c>
      <c r="B27">
        <v>0</v>
      </c>
      <c r="C27">
        <v>0</v>
      </c>
      <c r="D27">
        <v>0</v>
      </c>
      <c r="E27">
        <v>1</v>
      </c>
      <c r="F27">
        <v>0</v>
      </c>
      <c r="G27">
        <v>3</v>
      </c>
      <c r="H27">
        <v>1</v>
      </c>
      <c r="I27">
        <v>0</v>
      </c>
      <c r="J27">
        <v>0</v>
      </c>
      <c r="K27">
        <v>2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</row>
    <row r="28" spans="1:19" x14ac:dyDescent="0.25">
      <c r="A28" t="s">
        <v>376</v>
      </c>
      <c r="B28">
        <v>0</v>
      </c>
      <c r="C28">
        <v>0</v>
      </c>
      <c r="D28">
        <v>0</v>
      </c>
      <c r="E28">
        <v>0</v>
      </c>
      <c r="F28">
        <v>0</v>
      </c>
      <c r="G28">
        <v>5</v>
      </c>
      <c r="H28">
        <v>1</v>
      </c>
      <c r="I28">
        <v>0</v>
      </c>
      <c r="J28">
        <v>0</v>
      </c>
      <c r="K28">
        <v>1</v>
      </c>
      <c r="L28">
        <v>1</v>
      </c>
      <c r="M28">
        <v>1</v>
      </c>
      <c r="N28">
        <v>0</v>
      </c>
      <c r="O28">
        <v>0</v>
      </c>
      <c r="P28">
        <v>1</v>
      </c>
      <c r="Q28">
        <v>0</v>
      </c>
      <c r="R28">
        <v>1</v>
      </c>
      <c r="S28">
        <v>1</v>
      </c>
    </row>
    <row r="29" spans="1:19" x14ac:dyDescent="0.25">
      <c r="A29" t="s">
        <v>377</v>
      </c>
      <c r="B29">
        <v>1</v>
      </c>
      <c r="C29">
        <v>0</v>
      </c>
      <c r="D29">
        <v>0</v>
      </c>
      <c r="E29">
        <v>0</v>
      </c>
      <c r="F29">
        <v>0</v>
      </c>
      <c r="G29">
        <v>5</v>
      </c>
      <c r="H29">
        <v>1</v>
      </c>
      <c r="I29">
        <v>0</v>
      </c>
      <c r="J29">
        <v>0</v>
      </c>
      <c r="K29">
        <v>2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</row>
    <row r="30" spans="1:19" x14ac:dyDescent="0.25">
      <c r="A30" t="s">
        <v>378</v>
      </c>
      <c r="B30">
        <v>1</v>
      </c>
      <c r="C30">
        <v>0</v>
      </c>
      <c r="D30">
        <v>1</v>
      </c>
      <c r="E30">
        <v>0</v>
      </c>
      <c r="F30">
        <v>0</v>
      </c>
      <c r="G30">
        <v>5</v>
      </c>
      <c r="H30">
        <v>1</v>
      </c>
      <c r="I30">
        <v>0</v>
      </c>
      <c r="J30">
        <v>0</v>
      </c>
      <c r="K30">
        <v>1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1</v>
      </c>
      <c r="S30">
        <v>1</v>
      </c>
    </row>
    <row r="31" spans="1:19" x14ac:dyDescent="0.25">
      <c r="A31" t="s">
        <v>379</v>
      </c>
      <c r="B31">
        <v>1</v>
      </c>
      <c r="C31">
        <v>0</v>
      </c>
      <c r="D31">
        <v>2</v>
      </c>
      <c r="E31">
        <v>0</v>
      </c>
      <c r="F31">
        <v>0</v>
      </c>
      <c r="G31">
        <v>5</v>
      </c>
      <c r="H31">
        <v>0</v>
      </c>
      <c r="I31">
        <v>0</v>
      </c>
      <c r="J31">
        <v>1</v>
      </c>
      <c r="K31">
        <v>2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</row>
    <row r="32" spans="1:19" x14ac:dyDescent="0.25">
      <c r="A32" t="s">
        <v>380</v>
      </c>
      <c r="B32">
        <v>0</v>
      </c>
      <c r="C32">
        <v>0</v>
      </c>
      <c r="D32">
        <v>4</v>
      </c>
      <c r="E32">
        <v>0</v>
      </c>
      <c r="F32">
        <v>0</v>
      </c>
      <c r="G32">
        <v>5</v>
      </c>
      <c r="H32">
        <v>0</v>
      </c>
      <c r="I32">
        <v>0</v>
      </c>
      <c r="J32">
        <v>1</v>
      </c>
      <c r="K32">
        <v>1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1</v>
      </c>
      <c r="S32">
        <v>1</v>
      </c>
    </row>
    <row r="33" spans="1:19" x14ac:dyDescent="0.25">
      <c r="A33" t="s">
        <v>381</v>
      </c>
      <c r="B33">
        <v>1</v>
      </c>
      <c r="C33">
        <v>0</v>
      </c>
      <c r="D33">
        <v>4</v>
      </c>
      <c r="E33">
        <v>0</v>
      </c>
      <c r="F33">
        <v>0</v>
      </c>
      <c r="G33">
        <v>5</v>
      </c>
      <c r="H33">
        <v>0</v>
      </c>
      <c r="I33">
        <v>0</v>
      </c>
      <c r="J33">
        <v>1</v>
      </c>
      <c r="K33">
        <v>1</v>
      </c>
      <c r="L33">
        <v>0</v>
      </c>
      <c r="M33">
        <v>1</v>
      </c>
      <c r="N33">
        <v>0</v>
      </c>
      <c r="O33">
        <v>0</v>
      </c>
      <c r="P33">
        <v>1</v>
      </c>
      <c r="Q33">
        <v>0</v>
      </c>
      <c r="R33">
        <v>1</v>
      </c>
      <c r="S33">
        <v>1</v>
      </c>
    </row>
    <row r="34" spans="1:19" x14ac:dyDescent="0.25">
      <c r="A34" s="1" t="s">
        <v>629</v>
      </c>
      <c r="B34" s="1">
        <f>SUM(B3:B33)</f>
        <v>6</v>
      </c>
      <c r="C34" s="1">
        <f t="shared" ref="C34:S34" si="0">SUM(C3:C33)</f>
        <v>0</v>
      </c>
      <c r="D34" s="1">
        <f t="shared" si="0"/>
        <v>24</v>
      </c>
      <c r="E34" s="1">
        <f t="shared" si="0"/>
        <v>11</v>
      </c>
      <c r="F34" s="1">
        <f t="shared" si="0"/>
        <v>0</v>
      </c>
      <c r="G34" s="1">
        <f t="shared" si="0"/>
        <v>69</v>
      </c>
      <c r="H34" s="1">
        <f t="shared" si="0"/>
        <v>19</v>
      </c>
      <c r="I34" s="1">
        <f t="shared" si="0"/>
        <v>0</v>
      </c>
      <c r="J34" s="1">
        <f t="shared" si="0"/>
        <v>3</v>
      </c>
      <c r="K34" s="1">
        <f t="shared" si="0"/>
        <v>36</v>
      </c>
      <c r="L34" s="1">
        <f t="shared" si="0"/>
        <v>19</v>
      </c>
      <c r="M34" s="1">
        <f t="shared" si="0"/>
        <v>14</v>
      </c>
      <c r="N34" s="1">
        <f t="shared" si="0"/>
        <v>2</v>
      </c>
      <c r="O34" s="1">
        <f t="shared" si="0"/>
        <v>0</v>
      </c>
      <c r="P34" s="1">
        <f t="shared" si="0"/>
        <v>26</v>
      </c>
      <c r="Q34" s="1">
        <f t="shared" si="0"/>
        <v>0</v>
      </c>
      <c r="R34" s="1">
        <f t="shared" si="0"/>
        <v>17</v>
      </c>
      <c r="S34" s="1">
        <f t="shared" si="0"/>
        <v>30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0.65454545454545454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0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0.2</v>
      </c>
      <c r="C36" s="4"/>
      <c r="D36" s="4"/>
      <c r="E36" s="4">
        <f t="shared" ref="E36" si="6" xml:space="preserve"> E34 / (E34 + G34)</f>
        <v>0.13750000000000001</v>
      </c>
      <c r="F36" s="4"/>
      <c r="G36" s="4"/>
      <c r="H36" s="4">
        <f t="shared" ref="H36" si="7" xml:space="preserve"> H34 / (H34 + J34)</f>
        <v>0.86363636363636365</v>
      </c>
      <c r="I36" s="4"/>
      <c r="J36" s="4"/>
      <c r="K36" s="4">
        <f t="shared" ref="K36" si="8" xml:space="preserve"> K34 / (K34 + M34)</f>
        <v>0.72</v>
      </c>
      <c r="L36" s="4"/>
      <c r="M36" s="4"/>
      <c r="N36" s="4">
        <f t="shared" ref="N36" si="9" xml:space="preserve"> N34 / (N34 + P34)</f>
        <v>7.1428571428571425E-2</v>
      </c>
      <c r="O36" s="4"/>
      <c r="P36" s="4"/>
      <c r="Q36" s="4">
        <f t="shared" ref="Q36" si="10" xml:space="preserve"> Q34 / (Q34 + S34)</f>
        <v>0</v>
      </c>
      <c r="R36" s="4"/>
      <c r="S36" s="4"/>
    </row>
  </sheetData>
  <mergeCells count="18">
    <mergeCell ref="B36:D36"/>
    <mergeCell ref="E36:G36"/>
    <mergeCell ref="H36:J36"/>
    <mergeCell ref="K36:M36"/>
    <mergeCell ref="N36:P36"/>
    <mergeCell ref="Q36:S36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6C29F-C073-4E67-8045-FB2DE548F89F}">
  <dimension ref="A1:S35"/>
  <sheetViews>
    <sheetView workbookViewId="0">
      <selection activeCell="B33" sqref="B33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382</v>
      </c>
      <c r="B3">
        <v>0</v>
      </c>
      <c r="C3">
        <v>0</v>
      </c>
      <c r="D3">
        <v>5</v>
      </c>
      <c r="E3">
        <v>0</v>
      </c>
      <c r="F3">
        <v>0</v>
      </c>
      <c r="G3">
        <v>5</v>
      </c>
      <c r="H3">
        <v>0</v>
      </c>
      <c r="I3">
        <v>0</v>
      </c>
      <c r="J3">
        <v>1</v>
      </c>
      <c r="K3">
        <v>2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</row>
    <row r="4" spans="1:19" x14ac:dyDescent="0.25">
      <c r="A4" t="s">
        <v>383</v>
      </c>
      <c r="B4">
        <v>0</v>
      </c>
      <c r="C4">
        <v>0</v>
      </c>
      <c r="D4">
        <v>4</v>
      </c>
      <c r="E4">
        <v>0</v>
      </c>
      <c r="F4">
        <v>0</v>
      </c>
      <c r="G4">
        <v>5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1</v>
      </c>
      <c r="S4">
        <v>1</v>
      </c>
    </row>
    <row r="5" spans="1:19" x14ac:dyDescent="0.25">
      <c r="A5" t="s">
        <v>384</v>
      </c>
      <c r="B5">
        <v>2</v>
      </c>
      <c r="C5">
        <v>1</v>
      </c>
      <c r="D5">
        <v>1</v>
      </c>
      <c r="E5">
        <v>0</v>
      </c>
      <c r="F5">
        <v>0</v>
      </c>
      <c r="G5">
        <v>5</v>
      </c>
      <c r="H5">
        <v>0</v>
      </c>
      <c r="I5">
        <v>0</v>
      </c>
      <c r="J5">
        <v>1</v>
      </c>
      <c r="K5">
        <v>1</v>
      </c>
      <c r="L5">
        <v>2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</row>
    <row r="6" spans="1:19" x14ac:dyDescent="0.25">
      <c r="A6" t="s">
        <v>385</v>
      </c>
      <c r="B6">
        <v>1</v>
      </c>
      <c r="C6">
        <v>0</v>
      </c>
      <c r="D6">
        <v>1</v>
      </c>
      <c r="E6">
        <v>0</v>
      </c>
      <c r="F6">
        <v>0</v>
      </c>
      <c r="G6">
        <v>5</v>
      </c>
      <c r="H6">
        <v>0</v>
      </c>
      <c r="I6">
        <v>0</v>
      </c>
      <c r="J6">
        <v>1</v>
      </c>
      <c r="K6">
        <v>0</v>
      </c>
      <c r="L6">
        <v>2</v>
      </c>
      <c r="M6">
        <v>2</v>
      </c>
      <c r="N6">
        <v>0</v>
      </c>
      <c r="O6">
        <v>0</v>
      </c>
      <c r="P6">
        <v>1</v>
      </c>
      <c r="Q6">
        <v>0</v>
      </c>
      <c r="R6">
        <v>1</v>
      </c>
      <c r="S6">
        <v>1</v>
      </c>
    </row>
    <row r="7" spans="1:19" x14ac:dyDescent="0.25">
      <c r="A7" t="s">
        <v>386</v>
      </c>
      <c r="B7">
        <v>1</v>
      </c>
      <c r="C7">
        <v>0</v>
      </c>
      <c r="D7">
        <v>0</v>
      </c>
      <c r="E7">
        <v>0</v>
      </c>
      <c r="F7">
        <v>0</v>
      </c>
      <c r="G7">
        <v>5</v>
      </c>
      <c r="H7">
        <v>0</v>
      </c>
      <c r="I7">
        <v>0</v>
      </c>
      <c r="J7">
        <v>1</v>
      </c>
      <c r="K7">
        <v>1</v>
      </c>
      <c r="L7">
        <v>2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</row>
    <row r="8" spans="1:19" x14ac:dyDescent="0.25">
      <c r="A8" t="s">
        <v>387</v>
      </c>
      <c r="B8">
        <v>0</v>
      </c>
      <c r="C8">
        <v>0</v>
      </c>
      <c r="D8">
        <v>0</v>
      </c>
      <c r="E8">
        <v>0</v>
      </c>
      <c r="F8">
        <v>0</v>
      </c>
      <c r="G8">
        <v>5</v>
      </c>
      <c r="H8">
        <v>0</v>
      </c>
      <c r="I8">
        <v>0</v>
      </c>
      <c r="J8">
        <v>1</v>
      </c>
      <c r="K8">
        <v>1</v>
      </c>
      <c r="L8">
        <v>2</v>
      </c>
      <c r="M8">
        <v>1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</row>
    <row r="9" spans="1:19" x14ac:dyDescent="0.25">
      <c r="A9" t="s">
        <v>388</v>
      </c>
      <c r="B9">
        <v>0</v>
      </c>
      <c r="C9">
        <v>0</v>
      </c>
      <c r="D9">
        <v>0</v>
      </c>
      <c r="E9">
        <v>0</v>
      </c>
      <c r="F9">
        <v>0</v>
      </c>
      <c r="G9">
        <v>4</v>
      </c>
      <c r="H9">
        <v>0</v>
      </c>
      <c r="I9">
        <v>0</v>
      </c>
      <c r="J9">
        <v>1</v>
      </c>
      <c r="K9">
        <v>1</v>
      </c>
      <c r="L9">
        <v>2</v>
      </c>
      <c r="M9">
        <v>1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</row>
    <row r="10" spans="1:19" x14ac:dyDescent="0.25">
      <c r="A10" t="s">
        <v>389</v>
      </c>
      <c r="B10">
        <v>0</v>
      </c>
      <c r="C10">
        <v>0</v>
      </c>
      <c r="D10">
        <v>0</v>
      </c>
      <c r="E10">
        <v>0</v>
      </c>
      <c r="F10">
        <v>0</v>
      </c>
      <c r="G10">
        <v>3</v>
      </c>
      <c r="H10">
        <v>0</v>
      </c>
      <c r="I10">
        <v>0</v>
      </c>
      <c r="J10">
        <v>1</v>
      </c>
      <c r="K10">
        <v>1</v>
      </c>
      <c r="L10">
        <v>2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</row>
    <row r="11" spans="1:19" x14ac:dyDescent="0.25">
      <c r="A11" t="s">
        <v>390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</row>
    <row r="12" spans="1:19" x14ac:dyDescent="0.25">
      <c r="A12" t="s">
        <v>391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2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</row>
    <row r="13" spans="1:19" x14ac:dyDescent="0.25">
      <c r="A13" t="s">
        <v>392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2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</row>
    <row r="14" spans="1:19" x14ac:dyDescent="0.25">
      <c r="A14" t="s">
        <v>393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</row>
    <row r="15" spans="1:19" x14ac:dyDescent="0.25">
      <c r="A15" t="s">
        <v>394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</row>
    <row r="16" spans="1:19" x14ac:dyDescent="0.25">
      <c r="A16" t="s">
        <v>395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</row>
    <row r="17" spans="1:19" x14ac:dyDescent="0.25">
      <c r="A17" t="s">
        <v>396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397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398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399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400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25">
      <c r="A22" t="s">
        <v>401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2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</row>
    <row r="23" spans="1:19" x14ac:dyDescent="0.25">
      <c r="A23" t="s">
        <v>402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 t="s">
        <v>403</v>
      </c>
      <c r="B24">
        <v>0</v>
      </c>
      <c r="C24">
        <v>0</v>
      </c>
      <c r="D24">
        <v>0</v>
      </c>
      <c r="E24">
        <v>0</v>
      </c>
      <c r="F24">
        <v>0</v>
      </c>
      <c r="G24">
        <v>2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</row>
    <row r="25" spans="1:19" x14ac:dyDescent="0.25">
      <c r="A25" t="s">
        <v>404</v>
      </c>
      <c r="B25">
        <v>0</v>
      </c>
      <c r="C25">
        <v>0</v>
      </c>
      <c r="D25">
        <v>0</v>
      </c>
      <c r="E25">
        <v>0</v>
      </c>
      <c r="F25">
        <v>0</v>
      </c>
      <c r="G25">
        <v>3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</row>
    <row r="26" spans="1:19" x14ac:dyDescent="0.25">
      <c r="A26" t="s">
        <v>405</v>
      </c>
      <c r="B26">
        <v>0</v>
      </c>
      <c r="C26">
        <v>0</v>
      </c>
      <c r="D26">
        <v>0</v>
      </c>
      <c r="E26">
        <v>1</v>
      </c>
      <c r="F26">
        <v>0</v>
      </c>
      <c r="G26">
        <v>3</v>
      </c>
      <c r="H26">
        <v>1</v>
      </c>
      <c r="I26">
        <v>0</v>
      </c>
      <c r="J26">
        <v>0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406</v>
      </c>
      <c r="B27">
        <v>0</v>
      </c>
      <c r="C27">
        <v>0</v>
      </c>
      <c r="D27">
        <v>0</v>
      </c>
      <c r="E27">
        <v>0</v>
      </c>
      <c r="F27">
        <v>0</v>
      </c>
      <c r="G27">
        <v>5</v>
      </c>
      <c r="H27">
        <v>1</v>
      </c>
      <c r="I27">
        <v>0</v>
      </c>
      <c r="J27">
        <v>0</v>
      </c>
      <c r="K27">
        <v>2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</row>
    <row r="28" spans="1:19" x14ac:dyDescent="0.25">
      <c r="A28" t="s">
        <v>407</v>
      </c>
      <c r="B28">
        <v>1</v>
      </c>
      <c r="C28">
        <v>0</v>
      </c>
      <c r="D28">
        <v>0</v>
      </c>
      <c r="E28">
        <v>0</v>
      </c>
      <c r="F28">
        <v>0</v>
      </c>
      <c r="G28">
        <v>5</v>
      </c>
      <c r="H28">
        <v>0</v>
      </c>
      <c r="I28">
        <v>0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</row>
    <row r="29" spans="1:19" x14ac:dyDescent="0.25">
      <c r="A29" t="s">
        <v>408</v>
      </c>
      <c r="B29">
        <v>0</v>
      </c>
      <c r="C29">
        <v>0</v>
      </c>
      <c r="D29">
        <v>2</v>
      </c>
      <c r="E29">
        <v>0</v>
      </c>
      <c r="F29">
        <v>0</v>
      </c>
      <c r="G29">
        <v>5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</row>
    <row r="30" spans="1:19" x14ac:dyDescent="0.25">
      <c r="A30" t="s">
        <v>409</v>
      </c>
      <c r="B30">
        <v>0</v>
      </c>
      <c r="C30">
        <v>0</v>
      </c>
      <c r="D30">
        <v>3</v>
      </c>
      <c r="E30">
        <v>0</v>
      </c>
      <c r="F30">
        <v>0</v>
      </c>
      <c r="G30">
        <v>5</v>
      </c>
      <c r="H30">
        <v>1</v>
      </c>
      <c r="I30">
        <v>0</v>
      </c>
      <c r="J30">
        <v>0</v>
      </c>
      <c r="K30">
        <v>2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</row>
    <row r="31" spans="1:19" x14ac:dyDescent="0.25">
      <c r="A31" t="s">
        <v>410</v>
      </c>
      <c r="B31">
        <v>1</v>
      </c>
      <c r="C31">
        <v>0</v>
      </c>
      <c r="D31">
        <v>3</v>
      </c>
      <c r="E31">
        <v>0</v>
      </c>
      <c r="F31">
        <v>0</v>
      </c>
      <c r="G31">
        <v>5</v>
      </c>
      <c r="H31">
        <v>1</v>
      </c>
      <c r="I31">
        <v>0</v>
      </c>
      <c r="J31">
        <v>0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x14ac:dyDescent="0.25">
      <c r="A32" t="s">
        <v>411</v>
      </c>
      <c r="B32">
        <v>0</v>
      </c>
      <c r="C32">
        <v>0</v>
      </c>
      <c r="D32">
        <v>5</v>
      </c>
      <c r="E32">
        <v>0</v>
      </c>
      <c r="F32">
        <v>0</v>
      </c>
      <c r="G32">
        <v>5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</row>
    <row r="33" spans="1:19" x14ac:dyDescent="0.25">
      <c r="A33" s="1" t="s">
        <v>629</v>
      </c>
      <c r="B33" s="1">
        <f>SUM(B3:B32)</f>
        <v>6</v>
      </c>
      <c r="C33" s="1">
        <f t="shared" ref="C33:S33" si="0">SUM(C3:C32)</f>
        <v>1</v>
      </c>
      <c r="D33" s="1">
        <f t="shared" si="0"/>
        <v>24</v>
      </c>
      <c r="E33" s="1">
        <f t="shared" si="0"/>
        <v>2</v>
      </c>
      <c r="F33" s="1">
        <f t="shared" si="0"/>
        <v>0</v>
      </c>
      <c r="G33" s="1">
        <f t="shared" si="0"/>
        <v>78</v>
      </c>
      <c r="H33" s="1">
        <f t="shared" si="0"/>
        <v>8</v>
      </c>
      <c r="I33" s="1">
        <f t="shared" si="0"/>
        <v>0</v>
      </c>
      <c r="J33" s="1">
        <f t="shared" si="0"/>
        <v>14</v>
      </c>
      <c r="K33" s="1">
        <f t="shared" si="0"/>
        <v>37</v>
      </c>
      <c r="L33" s="1">
        <f t="shared" si="0"/>
        <v>23</v>
      </c>
      <c r="M33" s="1">
        <f t="shared" si="0"/>
        <v>12</v>
      </c>
      <c r="N33" s="1">
        <f t="shared" si="0"/>
        <v>6</v>
      </c>
      <c r="O33" s="1">
        <f t="shared" si="0"/>
        <v>0</v>
      </c>
      <c r="P33" s="1">
        <f t="shared" si="0"/>
        <v>21</v>
      </c>
      <c r="Q33" s="1">
        <f t="shared" si="0"/>
        <v>3</v>
      </c>
      <c r="R33" s="1">
        <f t="shared" si="0"/>
        <v>2</v>
      </c>
      <c r="S33" s="1">
        <f t="shared" si="0"/>
        <v>26</v>
      </c>
    </row>
    <row r="34" spans="1:19" x14ac:dyDescent="0.25">
      <c r="A34" s="1" t="s">
        <v>630</v>
      </c>
      <c r="B34" s="4">
        <f>B33 / (B33 + C33)</f>
        <v>0.8571428571428571</v>
      </c>
      <c r="C34" s="4"/>
      <c r="D34" s="4"/>
      <c r="E34" s="4">
        <f t="shared" ref="E34" si="1">E33 / (E33 + F33)</f>
        <v>1</v>
      </c>
      <c r="F34" s="4"/>
      <c r="G34" s="4"/>
      <c r="H34" s="4">
        <f t="shared" ref="H34" si="2">H33 / (H33 + I33)</f>
        <v>1</v>
      </c>
      <c r="I34" s="4"/>
      <c r="J34" s="4"/>
      <c r="K34" s="4">
        <f t="shared" ref="K34" si="3">K33 / (K33 + L33)</f>
        <v>0.6166666666666667</v>
      </c>
      <c r="L34" s="4"/>
      <c r="M34" s="4"/>
      <c r="N34" s="4">
        <f t="shared" ref="N34" si="4">N33 / (N33 + O33)</f>
        <v>1</v>
      </c>
      <c r="O34" s="4"/>
      <c r="P34" s="4"/>
      <c r="Q34" s="4">
        <f t="shared" ref="Q34" si="5">Q33 / (Q33 + R33)</f>
        <v>0.6</v>
      </c>
      <c r="R34" s="4"/>
      <c r="S34" s="4"/>
    </row>
    <row r="35" spans="1:19" x14ac:dyDescent="0.25">
      <c r="A35" s="1" t="s">
        <v>631</v>
      </c>
      <c r="B35" s="4">
        <f xml:space="preserve"> B33 / (B33 + D33)</f>
        <v>0.2</v>
      </c>
      <c r="C35" s="4"/>
      <c r="D35" s="4"/>
      <c r="E35" s="4">
        <f t="shared" ref="E35" si="6" xml:space="preserve"> E33 / (E33 + G33)</f>
        <v>2.5000000000000001E-2</v>
      </c>
      <c r="F35" s="4"/>
      <c r="G35" s="4"/>
      <c r="H35" s="4">
        <f t="shared" ref="H35" si="7" xml:space="preserve"> H33 / (H33 + J33)</f>
        <v>0.36363636363636365</v>
      </c>
      <c r="I35" s="4"/>
      <c r="J35" s="4"/>
      <c r="K35" s="4">
        <f t="shared" ref="K35" si="8" xml:space="preserve"> K33 / (K33 + M33)</f>
        <v>0.75510204081632648</v>
      </c>
      <c r="L35" s="4"/>
      <c r="M35" s="4"/>
      <c r="N35" s="4">
        <f t="shared" ref="N35" si="9" xml:space="preserve"> N33 / (N33 + P33)</f>
        <v>0.22222222222222221</v>
      </c>
      <c r="O35" s="4"/>
      <c r="P35" s="4"/>
      <c r="Q35" s="4">
        <f t="shared" ref="Q35" si="10" xml:space="preserve"> Q33 / (Q33 + S33)</f>
        <v>0.10344827586206896</v>
      </c>
      <c r="R35" s="4"/>
      <c r="S35" s="4"/>
    </row>
  </sheetData>
  <mergeCells count="18">
    <mergeCell ref="B35:D35"/>
    <mergeCell ref="E35:G35"/>
    <mergeCell ref="H35:J35"/>
    <mergeCell ref="K35:M35"/>
    <mergeCell ref="N35:P35"/>
    <mergeCell ref="Q35:S35"/>
    <mergeCell ref="B34:D34"/>
    <mergeCell ref="E34:G34"/>
    <mergeCell ref="H34:J34"/>
    <mergeCell ref="K34:M34"/>
    <mergeCell ref="N34:P34"/>
    <mergeCell ref="Q34:S34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D8BA-8F6B-4F13-8D57-8A64C1E5C4C2}">
  <dimension ref="A1:S36"/>
  <sheetViews>
    <sheetView topLeftCell="A4" workbookViewId="0">
      <selection activeCell="A34" sqref="A34:S36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412</v>
      </c>
      <c r="B3">
        <v>0</v>
      </c>
      <c r="C3">
        <v>0</v>
      </c>
      <c r="D3">
        <v>5</v>
      </c>
      <c r="E3">
        <v>0</v>
      </c>
      <c r="F3">
        <v>0</v>
      </c>
      <c r="G3">
        <v>5</v>
      </c>
      <c r="H3">
        <v>1</v>
      </c>
      <c r="I3">
        <v>0</v>
      </c>
      <c r="J3">
        <v>0</v>
      </c>
      <c r="K3">
        <v>2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</row>
    <row r="4" spans="1:19" x14ac:dyDescent="0.25">
      <c r="A4" t="s">
        <v>413</v>
      </c>
      <c r="B4">
        <v>0</v>
      </c>
      <c r="C4">
        <v>0</v>
      </c>
      <c r="D4">
        <v>4</v>
      </c>
      <c r="E4">
        <v>0</v>
      </c>
      <c r="F4">
        <v>0</v>
      </c>
      <c r="G4">
        <v>5</v>
      </c>
      <c r="H4">
        <v>1</v>
      </c>
      <c r="I4">
        <v>0</v>
      </c>
      <c r="J4">
        <v>0</v>
      </c>
      <c r="K4">
        <v>2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</row>
    <row r="5" spans="1:19" x14ac:dyDescent="0.25">
      <c r="A5" t="s">
        <v>414</v>
      </c>
      <c r="B5">
        <v>1</v>
      </c>
      <c r="C5">
        <v>0</v>
      </c>
      <c r="D5">
        <v>2</v>
      </c>
      <c r="E5">
        <v>1</v>
      </c>
      <c r="F5">
        <v>0</v>
      </c>
      <c r="G5">
        <v>4</v>
      </c>
      <c r="H5">
        <v>1</v>
      </c>
      <c r="I5">
        <v>0</v>
      </c>
      <c r="J5">
        <v>0</v>
      </c>
      <c r="K5">
        <v>2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</row>
    <row r="6" spans="1:19" x14ac:dyDescent="0.25">
      <c r="A6" t="s">
        <v>415</v>
      </c>
      <c r="B6">
        <v>1</v>
      </c>
      <c r="C6">
        <v>0</v>
      </c>
      <c r="D6">
        <v>1</v>
      </c>
      <c r="E6">
        <v>1</v>
      </c>
      <c r="F6">
        <v>0</v>
      </c>
      <c r="G6">
        <v>4</v>
      </c>
      <c r="H6">
        <v>1</v>
      </c>
      <c r="I6">
        <v>0</v>
      </c>
      <c r="J6">
        <v>0</v>
      </c>
      <c r="K6">
        <v>2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</row>
    <row r="7" spans="1:19" x14ac:dyDescent="0.25">
      <c r="A7" t="s">
        <v>416</v>
      </c>
      <c r="B7">
        <v>0</v>
      </c>
      <c r="C7">
        <v>0</v>
      </c>
      <c r="D7">
        <v>1</v>
      </c>
      <c r="E7">
        <v>1</v>
      </c>
      <c r="F7">
        <v>0</v>
      </c>
      <c r="G7">
        <v>4</v>
      </c>
      <c r="H7">
        <v>1</v>
      </c>
      <c r="I7">
        <v>0</v>
      </c>
      <c r="J7">
        <v>0</v>
      </c>
      <c r="K7">
        <v>2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</row>
    <row r="8" spans="1:19" x14ac:dyDescent="0.25">
      <c r="A8" t="s">
        <v>417</v>
      </c>
      <c r="B8">
        <v>0</v>
      </c>
      <c r="C8">
        <v>0</v>
      </c>
      <c r="D8">
        <v>0</v>
      </c>
      <c r="E8">
        <v>2</v>
      </c>
      <c r="F8">
        <v>0</v>
      </c>
      <c r="G8">
        <v>3</v>
      </c>
      <c r="H8">
        <v>1</v>
      </c>
      <c r="I8">
        <v>0</v>
      </c>
      <c r="J8">
        <v>0</v>
      </c>
      <c r="K8">
        <v>2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</row>
    <row r="9" spans="1:19" x14ac:dyDescent="0.25">
      <c r="A9" t="s">
        <v>418</v>
      </c>
      <c r="B9">
        <v>0</v>
      </c>
      <c r="C9">
        <v>0</v>
      </c>
      <c r="D9">
        <v>0</v>
      </c>
      <c r="E9">
        <v>2</v>
      </c>
      <c r="F9">
        <v>0</v>
      </c>
      <c r="G9">
        <v>2</v>
      </c>
      <c r="H9">
        <v>1</v>
      </c>
      <c r="I9">
        <v>0</v>
      </c>
      <c r="J9">
        <v>0</v>
      </c>
      <c r="K9">
        <v>2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</row>
    <row r="10" spans="1:19" x14ac:dyDescent="0.25">
      <c r="A10" t="s">
        <v>419</v>
      </c>
      <c r="B10">
        <v>0</v>
      </c>
      <c r="C10">
        <v>0</v>
      </c>
      <c r="D10">
        <v>0</v>
      </c>
      <c r="E10">
        <v>0</v>
      </c>
      <c r="F10">
        <v>0</v>
      </c>
      <c r="G10">
        <v>3</v>
      </c>
      <c r="H10">
        <v>1</v>
      </c>
      <c r="I10">
        <v>0</v>
      </c>
      <c r="J10">
        <v>0</v>
      </c>
      <c r="K10">
        <v>2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</row>
    <row r="11" spans="1:19" x14ac:dyDescent="0.25">
      <c r="A11" t="s">
        <v>420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1</v>
      </c>
      <c r="I11">
        <v>0</v>
      </c>
      <c r="J11">
        <v>0</v>
      </c>
      <c r="K11">
        <v>2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</row>
    <row r="12" spans="1:19" x14ac:dyDescent="0.25">
      <c r="A12" t="s">
        <v>421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2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</row>
    <row r="13" spans="1:19" x14ac:dyDescent="0.25">
      <c r="A13" t="s">
        <v>422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2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</row>
    <row r="14" spans="1:19" x14ac:dyDescent="0.25">
      <c r="A14" t="s">
        <v>423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</row>
    <row r="15" spans="1:19" x14ac:dyDescent="0.25">
      <c r="A15" t="s">
        <v>424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</row>
    <row r="16" spans="1:19" x14ac:dyDescent="0.25">
      <c r="A16" t="s">
        <v>425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426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25">
      <c r="A18" t="s">
        <v>427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428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429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</row>
    <row r="21" spans="1:19" x14ac:dyDescent="0.25">
      <c r="A21" t="s">
        <v>430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</row>
    <row r="22" spans="1:19" x14ac:dyDescent="0.25">
      <c r="A22" t="s">
        <v>431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</row>
    <row r="23" spans="1:19" x14ac:dyDescent="0.25">
      <c r="A23" t="s">
        <v>432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1</v>
      </c>
      <c r="L23">
        <v>0</v>
      </c>
      <c r="M23">
        <v>1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</row>
    <row r="24" spans="1:19" x14ac:dyDescent="0.25">
      <c r="A24" t="s">
        <v>433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</row>
    <row r="25" spans="1:19" x14ac:dyDescent="0.25">
      <c r="A25" t="s">
        <v>434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1</v>
      </c>
      <c r="Q25">
        <v>1</v>
      </c>
      <c r="R25">
        <v>0</v>
      </c>
      <c r="S25">
        <v>0</v>
      </c>
    </row>
    <row r="26" spans="1:19" x14ac:dyDescent="0.25">
      <c r="A26" t="s">
        <v>435</v>
      </c>
      <c r="B26">
        <v>0</v>
      </c>
      <c r="C26">
        <v>0</v>
      </c>
      <c r="D26">
        <v>0</v>
      </c>
      <c r="E26">
        <v>0</v>
      </c>
      <c r="F26">
        <v>0</v>
      </c>
      <c r="G26">
        <v>3</v>
      </c>
      <c r="H26">
        <v>1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</row>
    <row r="27" spans="1:19" x14ac:dyDescent="0.25">
      <c r="A27" t="s">
        <v>436</v>
      </c>
      <c r="B27">
        <v>0</v>
      </c>
      <c r="C27">
        <v>0</v>
      </c>
      <c r="D27">
        <v>0</v>
      </c>
      <c r="E27">
        <v>1</v>
      </c>
      <c r="F27">
        <v>0</v>
      </c>
      <c r="G27">
        <v>3</v>
      </c>
      <c r="H27">
        <v>1</v>
      </c>
      <c r="I27">
        <v>0</v>
      </c>
      <c r="J27">
        <v>0</v>
      </c>
      <c r="K27">
        <v>1</v>
      </c>
      <c r="L27">
        <v>0</v>
      </c>
      <c r="M27">
        <v>1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</row>
    <row r="28" spans="1:19" x14ac:dyDescent="0.25">
      <c r="A28" t="s">
        <v>437</v>
      </c>
      <c r="B28">
        <v>0</v>
      </c>
      <c r="C28">
        <v>0</v>
      </c>
      <c r="D28">
        <v>0</v>
      </c>
      <c r="E28">
        <v>1</v>
      </c>
      <c r="F28">
        <v>0</v>
      </c>
      <c r="G28">
        <v>4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</row>
    <row r="29" spans="1:19" x14ac:dyDescent="0.25">
      <c r="A29" t="s">
        <v>438</v>
      </c>
      <c r="B29">
        <v>0</v>
      </c>
      <c r="C29">
        <v>0</v>
      </c>
      <c r="D29">
        <v>1</v>
      </c>
      <c r="E29">
        <v>1</v>
      </c>
      <c r="F29">
        <v>0</v>
      </c>
      <c r="G29">
        <v>4</v>
      </c>
      <c r="H29">
        <v>0</v>
      </c>
      <c r="I29">
        <v>0</v>
      </c>
      <c r="J29">
        <v>1</v>
      </c>
      <c r="K29">
        <v>1</v>
      </c>
      <c r="L29">
        <v>0</v>
      </c>
      <c r="M29">
        <v>1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</row>
    <row r="30" spans="1:19" x14ac:dyDescent="0.25">
      <c r="A30" t="s">
        <v>439</v>
      </c>
      <c r="B30">
        <v>0</v>
      </c>
      <c r="C30">
        <v>0</v>
      </c>
      <c r="D30">
        <v>2</v>
      </c>
      <c r="E30">
        <v>1</v>
      </c>
      <c r="F30">
        <v>0</v>
      </c>
      <c r="G30">
        <v>4</v>
      </c>
      <c r="H30">
        <v>1</v>
      </c>
      <c r="I30">
        <v>0</v>
      </c>
      <c r="J30">
        <v>0</v>
      </c>
      <c r="K30">
        <v>1</v>
      </c>
      <c r="L30">
        <v>0</v>
      </c>
      <c r="M30">
        <v>1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</row>
    <row r="31" spans="1:19" x14ac:dyDescent="0.25">
      <c r="A31" t="s">
        <v>440</v>
      </c>
      <c r="B31">
        <v>0</v>
      </c>
      <c r="C31">
        <v>0</v>
      </c>
      <c r="D31">
        <v>3</v>
      </c>
      <c r="E31">
        <v>0</v>
      </c>
      <c r="F31">
        <v>0</v>
      </c>
      <c r="G31">
        <v>5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>
        <v>0</v>
      </c>
    </row>
    <row r="32" spans="1:19" x14ac:dyDescent="0.25">
      <c r="A32" t="s">
        <v>441</v>
      </c>
      <c r="B32">
        <v>0</v>
      </c>
      <c r="C32">
        <v>0</v>
      </c>
      <c r="D32">
        <v>4</v>
      </c>
      <c r="E32">
        <v>0</v>
      </c>
      <c r="F32">
        <v>0</v>
      </c>
      <c r="G32">
        <v>5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0</v>
      </c>
      <c r="O32">
        <v>0</v>
      </c>
      <c r="P32">
        <v>1</v>
      </c>
      <c r="Q32">
        <v>1</v>
      </c>
      <c r="R32">
        <v>0</v>
      </c>
      <c r="S32">
        <v>0</v>
      </c>
    </row>
    <row r="33" spans="1:19" x14ac:dyDescent="0.25">
      <c r="A33" t="s">
        <v>442</v>
      </c>
      <c r="B33">
        <v>1</v>
      </c>
      <c r="C33">
        <v>0</v>
      </c>
      <c r="D33">
        <v>4</v>
      </c>
      <c r="E33">
        <v>0</v>
      </c>
      <c r="F33">
        <v>0</v>
      </c>
      <c r="G33">
        <v>5</v>
      </c>
      <c r="H33">
        <v>0</v>
      </c>
      <c r="I33">
        <v>0</v>
      </c>
      <c r="J33">
        <v>1</v>
      </c>
      <c r="K33">
        <v>1</v>
      </c>
      <c r="L33">
        <v>0</v>
      </c>
      <c r="M33">
        <v>1</v>
      </c>
      <c r="N33">
        <v>0</v>
      </c>
      <c r="O33">
        <v>0</v>
      </c>
      <c r="P33">
        <v>1</v>
      </c>
      <c r="Q33">
        <v>1</v>
      </c>
      <c r="R33">
        <v>0</v>
      </c>
      <c r="S33">
        <v>0</v>
      </c>
    </row>
    <row r="34" spans="1:19" x14ac:dyDescent="0.25">
      <c r="A34" s="1" t="s">
        <v>629</v>
      </c>
      <c r="B34" s="1">
        <f>SUM(B3:B33)</f>
        <v>3</v>
      </c>
      <c r="C34" s="1">
        <f t="shared" ref="C34:S34" si="0">SUM(C3:C33)</f>
        <v>0</v>
      </c>
      <c r="D34" s="1">
        <f t="shared" si="0"/>
        <v>27</v>
      </c>
      <c r="E34" s="1">
        <f t="shared" si="0"/>
        <v>12</v>
      </c>
      <c r="F34" s="1">
        <f t="shared" si="0"/>
        <v>0</v>
      </c>
      <c r="G34" s="1">
        <f t="shared" si="0"/>
        <v>68</v>
      </c>
      <c r="H34" s="1">
        <f t="shared" si="0"/>
        <v>18</v>
      </c>
      <c r="I34" s="1">
        <f t="shared" si="0"/>
        <v>0</v>
      </c>
      <c r="J34" s="1">
        <f t="shared" si="0"/>
        <v>4</v>
      </c>
      <c r="K34" s="1">
        <f t="shared" si="0"/>
        <v>39</v>
      </c>
      <c r="L34" s="1">
        <f t="shared" si="0"/>
        <v>4</v>
      </c>
      <c r="M34" s="1">
        <f t="shared" si="0"/>
        <v>11</v>
      </c>
      <c r="N34" s="1">
        <f t="shared" si="0"/>
        <v>1</v>
      </c>
      <c r="O34" s="1">
        <f t="shared" si="0"/>
        <v>0</v>
      </c>
      <c r="P34" s="1">
        <f t="shared" si="0"/>
        <v>27</v>
      </c>
      <c r="Q34" s="1">
        <f t="shared" si="0"/>
        <v>29</v>
      </c>
      <c r="R34" s="1">
        <f t="shared" si="0"/>
        <v>0</v>
      </c>
      <c r="S34" s="1">
        <f t="shared" si="0"/>
        <v>1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0.90697674418604646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0.1</v>
      </c>
      <c r="C36" s="4"/>
      <c r="D36" s="4"/>
      <c r="E36" s="4">
        <f t="shared" ref="E36" si="6" xml:space="preserve"> E34 / (E34 + G34)</f>
        <v>0.15</v>
      </c>
      <c r="F36" s="4"/>
      <c r="G36" s="4"/>
      <c r="H36" s="4">
        <f t="shared" ref="H36" si="7" xml:space="preserve"> H34 / (H34 + J34)</f>
        <v>0.81818181818181823</v>
      </c>
      <c r="I36" s="4"/>
      <c r="J36" s="4"/>
      <c r="K36" s="4">
        <f t="shared" ref="K36" si="8" xml:space="preserve"> K34 / (K34 + M34)</f>
        <v>0.78</v>
      </c>
      <c r="L36" s="4"/>
      <c r="M36" s="4"/>
      <c r="N36" s="4">
        <f t="shared" ref="N36" si="9" xml:space="preserve"> N34 / (N34 + P34)</f>
        <v>3.5714285714285712E-2</v>
      </c>
      <c r="O36" s="4"/>
      <c r="P36" s="4"/>
      <c r="Q36" s="4">
        <f t="shared" ref="Q36" si="10" xml:space="preserve"> Q34 / (Q34 + S34)</f>
        <v>0.96666666666666667</v>
      </c>
      <c r="R36" s="4"/>
      <c r="S36" s="4"/>
    </row>
  </sheetData>
  <mergeCells count="18">
    <mergeCell ref="B36:D36"/>
    <mergeCell ref="E36:G36"/>
    <mergeCell ref="H36:J36"/>
    <mergeCell ref="K36:M36"/>
    <mergeCell ref="N36:P36"/>
    <mergeCell ref="Q36:S36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6237-1481-42D5-A7D1-C018965D9BF2}">
  <dimension ref="A1:S36"/>
  <sheetViews>
    <sheetView workbookViewId="0">
      <selection activeCell="A34" sqref="A34:S36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443</v>
      </c>
      <c r="B3">
        <v>1</v>
      </c>
      <c r="C3">
        <v>0</v>
      </c>
      <c r="D3">
        <v>4</v>
      </c>
      <c r="E3">
        <v>0</v>
      </c>
      <c r="F3">
        <v>0</v>
      </c>
      <c r="G3">
        <v>5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</row>
    <row r="4" spans="1:19" x14ac:dyDescent="0.25">
      <c r="A4" t="s">
        <v>444</v>
      </c>
      <c r="B4">
        <v>1</v>
      </c>
      <c r="C4">
        <v>0</v>
      </c>
      <c r="D4">
        <v>3</v>
      </c>
      <c r="E4">
        <v>0</v>
      </c>
      <c r="F4">
        <v>0</v>
      </c>
      <c r="G4">
        <v>5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</row>
    <row r="5" spans="1:19" x14ac:dyDescent="0.25">
      <c r="A5" t="s">
        <v>445</v>
      </c>
      <c r="B5">
        <v>2</v>
      </c>
      <c r="C5">
        <v>0</v>
      </c>
      <c r="D5">
        <v>1</v>
      </c>
      <c r="E5">
        <v>0</v>
      </c>
      <c r="F5">
        <v>0</v>
      </c>
      <c r="G5">
        <v>5</v>
      </c>
      <c r="H5">
        <v>0</v>
      </c>
      <c r="I5">
        <v>0</v>
      </c>
      <c r="J5">
        <v>1</v>
      </c>
      <c r="K5">
        <v>1</v>
      </c>
      <c r="L5">
        <v>0</v>
      </c>
      <c r="M5">
        <v>1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</row>
    <row r="6" spans="1:19" x14ac:dyDescent="0.25">
      <c r="A6" t="s">
        <v>446</v>
      </c>
      <c r="B6">
        <v>1</v>
      </c>
      <c r="C6">
        <v>0</v>
      </c>
      <c r="D6">
        <v>1</v>
      </c>
      <c r="E6">
        <v>0</v>
      </c>
      <c r="F6">
        <v>0</v>
      </c>
      <c r="G6">
        <v>5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</row>
    <row r="7" spans="1:19" x14ac:dyDescent="0.25">
      <c r="A7" t="s">
        <v>447</v>
      </c>
      <c r="B7">
        <v>0</v>
      </c>
      <c r="C7">
        <v>0</v>
      </c>
      <c r="D7">
        <v>1</v>
      </c>
      <c r="E7">
        <v>1</v>
      </c>
      <c r="F7">
        <v>0</v>
      </c>
      <c r="G7">
        <v>4</v>
      </c>
      <c r="H7">
        <v>1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</row>
    <row r="8" spans="1:19" x14ac:dyDescent="0.25">
      <c r="A8" t="s">
        <v>448</v>
      </c>
      <c r="B8">
        <v>0</v>
      </c>
      <c r="C8">
        <v>0</v>
      </c>
      <c r="D8">
        <v>0</v>
      </c>
      <c r="E8">
        <v>1</v>
      </c>
      <c r="F8">
        <v>0</v>
      </c>
      <c r="G8">
        <v>4</v>
      </c>
      <c r="H8">
        <v>1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</row>
    <row r="9" spans="1:19" x14ac:dyDescent="0.25">
      <c r="A9" t="s">
        <v>449</v>
      </c>
      <c r="B9">
        <v>0</v>
      </c>
      <c r="C9">
        <v>0</v>
      </c>
      <c r="D9">
        <v>0</v>
      </c>
      <c r="E9">
        <v>0</v>
      </c>
      <c r="F9">
        <v>0</v>
      </c>
      <c r="G9">
        <v>4</v>
      </c>
      <c r="H9">
        <v>1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</row>
    <row r="10" spans="1:19" x14ac:dyDescent="0.25">
      <c r="A10" t="s">
        <v>450</v>
      </c>
      <c r="B10">
        <v>0</v>
      </c>
      <c r="C10">
        <v>0</v>
      </c>
      <c r="D10">
        <v>0</v>
      </c>
      <c r="E10">
        <v>0</v>
      </c>
      <c r="F10">
        <v>0</v>
      </c>
      <c r="G10">
        <v>3</v>
      </c>
      <c r="H10">
        <v>1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</row>
    <row r="11" spans="1:19" x14ac:dyDescent="0.25">
      <c r="A11" t="s">
        <v>451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1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</row>
    <row r="12" spans="1:19" x14ac:dyDescent="0.25">
      <c r="A12" t="s">
        <v>452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</row>
    <row r="13" spans="1:19" x14ac:dyDescent="0.25">
      <c r="A13" t="s">
        <v>453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</row>
    <row r="14" spans="1:19" x14ac:dyDescent="0.25">
      <c r="A14" t="s">
        <v>454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</row>
    <row r="15" spans="1:19" x14ac:dyDescent="0.25">
      <c r="A15" t="s">
        <v>455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</row>
    <row r="16" spans="1:19" x14ac:dyDescent="0.25">
      <c r="A16" t="s">
        <v>456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25">
      <c r="A17" t="s">
        <v>457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458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459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460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461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25">
      <c r="A22" t="s">
        <v>462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 x14ac:dyDescent="0.25">
      <c r="A23" t="s">
        <v>463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25">
      <c r="A24" t="s">
        <v>464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</row>
    <row r="25" spans="1:19" x14ac:dyDescent="0.25">
      <c r="A25" t="s">
        <v>465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0</v>
      </c>
      <c r="I25">
        <v>0</v>
      </c>
      <c r="J25">
        <v>1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x14ac:dyDescent="0.25">
      <c r="A26" t="s">
        <v>466</v>
      </c>
      <c r="B26">
        <v>0</v>
      </c>
      <c r="C26">
        <v>0</v>
      </c>
      <c r="D26">
        <v>0</v>
      </c>
      <c r="E26">
        <v>0</v>
      </c>
      <c r="F26">
        <v>0</v>
      </c>
      <c r="G26">
        <v>3</v>
      </c>
      <c r="H26">
        <v>0</v>
      </c>
      <c r="I26">
        <v>0</v>
      </c>
      <c r="J26">
        <v>1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467</v>
      </c>
      <c r="B27">
        <v>0</v>
      </c>
      <c r="C27">
        <v>0</v>
      </c>
      <c r="D27">
        <v>0</v>
      </c>
      <c r="E27">
        <v>1</v>
      </c>
      <c r="F27">
        <v>0</v>
      </c>
      <c r="G27">
        <v>3</v>
      </c>
      <c r="H27">
        <v>0</v>
      </c>
      <c r="I27">
        <v>0</v>
      </c>
      <c r="J27">
        <v>1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 x14ac:dyDescent="0.25">
      <c r="A28" t="s">
        <v>468</v>
      </c>
      <c r="B28">
        <v>0</v>
      </c>
      <c r="C28">
        <v>0</v>
      </c>
      <c r="D28">
        <v>0</v>
      </c>
      <c r="E28">
        <v>0</v>
      </c>
      <c r="F28">
        <v>0</v>
      </c>
      <c r="G28">
        <v>5</v>
      </c>
      <c r="H28">
        <v>0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</row>
    <row r="29" spans="1:19" x14ac:dyDescent="0.25">
      <c r="A29" t="s">
        <v>469</v>
      </c>
      <c r="B29">
        <v>1</v>
      </c>
      <c r="C29">
        <v>0</v>
      </c>
      <c r="D29">
        <v>0</v>
      </c>
      <c r="E29">
        <v>0</v>
      </c>
      <c r="F29">
        <v>0</v>
      </c>
      <c r="G29">
        <v>5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 x14ac:dyDescent="0.25">
      <c r="A30" t="s">
        <v>470</v>
      </c>
      <c r="B30">
        <v>1</v>
      </c>
      <c r="C30">
        <v>0</v>
      </c>
      <c r="D30">
        <v>1</v>
      </c>
      <c r="E30">
        <v>0</v>
      </c>
      <c r="F30">
        <v>0</v>
      </c>
      <c r="G30">
        <v>5</v>
      </c>
      <c r="H30">
        <v>0</v>
      </c>
      <c r="I30">
        <v>0</v>
      </c>
      <c r="J30">
        <v>1</v>
      </c>
      <c r="K30">
        <v>2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</row>
    <row r="31" spans="1:19" x14ac:dyDescent="0.25">
      <c r="A31" t="s">
        <v>471</v>
      </c>
      <c r="B31">
        <v>1</v>
      </c>
      <c r="C31">
        <v>0</v>
      </c>
      <c r="D31">
        <v>2</v>
      </c>
      <c r="E31">
        <v>0</v>
      </c>
      <c r="F31">
        <v>0</v>
      </c>
      <c r="G31">
        <v>5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x14ac:dyDescent="0.25">
      <c r="A32" t="s">
        <v>472</v>
      </c>
      <c r="B32">
        <v>1</v>
      </c>
      <c r="C32">
        <v>0</v>
      </c>
      <c r="D32">
        <v>3</v>
      </c>
      <c r="E32">
        <v>0</v>
      </c>
      <c r="F32">
        <v>0</v>
      </c>
      <c r="G32">
        <v>5</v>
      </c>
      <c r="H32">
        <v>0</v>
      </c>
      <c r="I32">
        <v>0</v>
      </c>
      <c r="J32">
        <v>1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</row>
    <row r="33" spans="1:19" x14ac:dyDescent="0.25">
      <c r="A33" t="s">
        <v>473</v>
      </c>
      <c r="B33">
        <v>1</v>
      </c>
      <c r="C33">
        <v>0</v>
      </c>
      <c r="D33">
        <v>4</v>
      </c>
      <c r="E33">
        <v>0</v>
      </c>
      <c r="F33">
        <v>0</v>
      </c>
      <c r="G33">
        <v>5</v>
      </c>
      <c r="H33">
        <v>0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</row>
    <row r="34" spans="1:19" x14ac:dyDescent="0.25">
      <c r="A34" s="1" t="s">
        <v>629</v>
      </c>
      <c r="B34" s="1">
        <f>SUM(B3:B33)</f>
        <v>10</v>
      </c>
      <c r="C34" s="1">
        <f t="shared" ref="C34:S34" si="0">SUM(C3:C33)</f>
        <v>0</v>
      </c>
      <c r="D34" s="1">
        <f t="shared" si="0"/>
        <v>20</v>
      </c>
      <c r="E34" s="1">
        <f t="shared" si="0"/>
        <v>4</v>
      </c>
      <c r="F34" s="1">
        <f t="shared" si="0"/>
        <v>0</v>
      </c>
      <c r="G34" s="1">
        <f t="shared" si="0"/>
        <v>76</v>
      </c>
      <c r="H34" s="1">
        <f t="shared" si="0"/>
        <v>7</v>
      </c>
      <c r="I34" s="1">
        <f t="shared" si="0"/>
        <v>0</v>
      </c>
      <c r="J34" s="1">
        <f t="shared" si="0"/>
        <v>15</v>
      </c>
      <c r="K34" s="1">
        <f t="shared" si="0"/>
        <v>37</v>
      </c>
      <c r="L34" s="1">
        <f t="shared" si="0"/>
        <v>3</v>
      </c>
      <c r="M34" s="1">
        <f t="shared" si="0"/>
        <v>13</v>
      </c>
      <c r="N34" s="1">
        <f t="shared" si="0"/>
        <v>13</v>
      </c>
      <c r="O34" s="1">
        <f t="shared" si="0"/>
        <v>0</v>
      </c>
      <c r="P34" s="1">
        <f t="shared" si="0"/>
        <v>15</v>
      </c>
      <c r="Q34" s="1">
        <f t="shared" si="0"/>
        <v>14</v>
      </c>
      <c r="R34" s="1">
        <f t="shared" si="0"/>
        <v>0</v>
      </c>
      <c r="S34" s="1">
        <f t="shared" si="0"/>
        <v>16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0.92500000000000004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1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0.33333333333333331</v>
      </c>
      <c r="C36" s="4"/>
      <c r="D36" s="4"/>
      <c r="E36" s="4">
        <f t="shared" ref="E36" si="6" xml:space="preserve"> E34 / (E34 + G34)</f>
        <v>0.05</v>
      </c>
      <c r="F36" s="4"/>
      <c r="G36" s="4"/>
      <c r="H36" s="4">
        <f t="shared" ref="H36" si="7" xml:space="preserve"> H34 / (H34 + J34)</f>
        <v>0.31818181818181818</v>
      </c>
      <c r="I36" s="4"/>
      <c r="J36" s="4"/>
      <c r="K36" s="4">
        <f t="shared" ref="K36" si="8" xml:space="preserve"> K34 / (K34 + M34)</f>
        <v>0.74</v>
      </c>
      <c r="L36" s="4"/>
      <c r="M36" s="4"/>
      <c r="N36" s="4">
        <f t="shared" ref="N36" si="9" xml:space="preserve"> N34 / (N34 + P34)</f>
        <v>0.4642857142857143</v>
      </c>
      <c r="O36" s="4"/>
      <c r="P36" s="4"/>
      <c r="Q36" s="4">
        <f t="shared" ref="Q36" si="10" xml:space="preserve"> Q34 / (Q34 + S34)</f>
        <v>0.46666666666666667</v>
      </c>
      <c r="R36" s="4"/>
      <c r="S36" s="4"/>
    </row>
  </sheetData>
  <mergeCells count="18">
    <mergeCell ref="B36:D36"/>
    <mergeCell ref="E36:G36"/>
    <mergeCell ref="H36:J36"/>
    <mergeCell ref="K36:M36"/>
    <mergeCell ref="N36:P36"/>
    <mergeCell ref="Q36:S36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4BEF0-38FD-4F2A-8FC1-3039818D17BE}">
  <dimension ref="A1:S36"/>
  <sheetViews>
    <sheetView workbookViewId="0">
      <selection activeCell="A34" sqref="A34:S36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474</v>
      </c>
      <c r="B3">
        <v>1</v>
      </c>
      <c r="C3">
        <v>0</v>
      </c>
      <c r="D3">
        <v>4</v>
      </c>
      <c r="E3">
        <v>0</v>
      </c>
      <c r="F3">
        <v>0</v>
      </c>
      <c r="G3">
        <v>5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</row>
    <row r="4" spans="1:19" x14ac:dyDescent="0.25">
      <c r="A4" t="s">
        <v>475</v>
      </c>
      <c r="B4">
        <v>0</v>
      </c>
      <c r="C4">
        <v>0</v>
      </c>
      <c r="D4">
        <v>4</v>
      </c>
      <c r="E4">
        <v>0</v>
      </c>
      <c r="F4">
        <v>0</v>
      </c>
      <c r="G4">
        <v>5</v>
      </c>
      <c r="H4">
        <v>1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</row>
    <row r="5" spans="1:19" x14ac:dyDescent="0.25">
      <c r="A5" t="s">
        <v>476</v>
      </c>
      <c r="B5">
        <v>0</v>
      </c>
      <c r="C5">
        <v>0</v>
      </c>
      <c r="D5">
        <v>3</v>
      </c>
      <c r="E5">
        <v>0</v>
      </c>
      <c r="F5">
        <v>0</v>
      </c>
      <c r="G5">
        <v>5</v>
      </c>
      <c r="H5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</row>
    <row r="6" spans="1:19" x14ac:dyDescent="0.25">
      <c r="A6" t="s">
        <v>477</v>
      </c>
      <c r="B6">
        <v>1</v>
      </c>
      <c r="C6">
        <v>0</v>
      </c>
      <c r="D6">
        <v>1</v>
      </c>
      <c r="E6">
        <v>0</v>
      </c>
      <c r="F6">
        <v>0</v>
      </c>
      <c r="G6">
        <v>5</v>
      </c>
      <c r="H6">
        <v>1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</row>
    <row r="7" spans="1:19" x14ac:dyDescent="0.25">
      <c r="A7" t="s">
        <v>478</v>
      </c>
      <c r="B7">
        <v>1</v>
      </c>
      <c r="C7">
        <v>0</v>
      </c>
      <c r="D7">
        <v>0</v>
      </c>
      <c r="E7">
        <v>0</v>
      </c>
      <c r="F7">
        <v>0</v>
      </c>
      <c r="G7">
        <v>5</v>
      </c>
      <c r="H7">
        <v>1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</row>
    <row r="8" spans="1:19" x14ac:dyDescent="0.25">
      <c r="A8" t="s">
        <v>479</v>
      </c>
      <c r="B8">
        <v>0</v>
      </c>
      <c r="C8">
        <v>0</v>
      </c>
      <c r="D8">
        <v>0</v>
      </c>
      <c r="E8">
        <v>0</v>
      </c>
      <c r="F8">
        <v>0</v>
      </c>
      <c r="G8">
        <v>5</v>
      </c>
      <c r="H8">
        <v>1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</row>
    <row r="9" spans="1:19" x14ac:dyDescent="0.25">
      <c r="A9" t="s">
        <v>480</v>
      </c>
      <c r="B9">
        <v>0</v>
      </c>
      <c r="C9">
        <v>0</v>
      </c>
      <c r="D9">
        <v>0</v>
      </c>
      <c r="E9">
        <v>0</v>
      </c>
      <c r="F9">
        <v>0</v>
      </c>
      <c r="G9">
        <v>4</v>
      </c>
      <c r="H9">
        <v>1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</row>
    <row r="10" spans="1:19" x14ac:dyDescent="0.25">
      <c r="A10" t="s">
        <v>481</v>
      </c>
      <c r="B10">
        <v>0</v>
      </c>
      <c r="C10">
        <v>0</v>
      </c>
      <c r="D10">
        <v>0</v>
      </c>
      <c r="E10">
        <v>2</v>
      </c>
      <c r="F10">
        <v>0</v>
      </c>
      <c r="G10">
        <v>1</v>
      </c>
      <c r="H10">
        <v>1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</row>
    <row r="11" spans="1:19" x14ac:dyDescent="0.25">
      <c r="A11" t="s">
        <v>482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</row>
    <row r="12" spans="1:19" x14ac:dyDescent="0.25">
      <c r="A12" t="s">
        <v>483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</row>
    <row r="13" spans="1:19" x14ac:dyDescent="0.25">
      <c r="A13" t="s">
        <v>484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2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</row>
    <row r="14" spans="1:19" x14ac:dyDescent="0.25">
      <c r="A14" t="s">
        <v>485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486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</row>
    <row r="16" spans="1:19" x14ac:dyDescent="0.25">
      <c r="A16" t="s">
        <v>487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</row>
    <row r="17" spans="1:19" x14ac:dyDescent="0.25">
      <c r="A17" t="s">
        <v>488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489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490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491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492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25">
      <c r="A22" t="s">
        <v>493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</row>
    <row r="23" spans="1:19" x14ac:dyDescent="0.25">
      <c r="A23" t="s">
        <v>494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</row>
    <row r="24" spans="1:19" x14ac:dyDescent="0.25">
      <c r="A24" t="s">
        <v>495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 x14ac:dyDescent="0.25">
      <c r="A25" t="s">
        <v>496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0</v>
      </c>
      <c r="I25">
        <v>0</v>
      </c>
      <c r="J25">
        <v>1</v>
      </c>
      <c r="K25">
        <v>2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</row>
    <row r="26" spans="1:19" x14ac:dyDescent="0.25">
      <c r="A26" t="s">
        <v>497</v>
      </c>
      <c r="B26">
        <v>0</v>
      </c>
      <c r="C26">
        <v>0</v>
      </c>
      <c r="D26">
        <v>0</v>
      </c>
      <c r="E26">
        <v>0</v>
      </c>
      <c r="F26">
        <v>0</v>
      </c>
      <c r="G26">
        <v>3</v>
      </c>
      <c r="H26">
        <v>1</v>
      </c>
      <c r="I26">
        <v>0</v>
      </c>
      <c r="J26">
        <v>0</v>
      </c>
      <c r="K26">
        <v>0</v>
      </c>
      <c r="L26">
        <v>0</v>
      </c>
      <c r="M26">
        <v>2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</row>
    <row r="27" spans="1:19" x14ac:dyDescent="0.25">
      <c r="A27" t="s">
        <v>498</v>
      </c>
      <c r="B27">
        <v>0</v>
      </c>
      <c r="C27">
        <v>0</v>
      </c>
      <c r="D27">
        <v>0</v>
      </c>
      <c r="E27">
        <v>1</v>
      </c>
      <c r="F27">
        <v>0</v>
      </c>
      <c r="G27">
        <v>3</v>
      </c>
      <c r="H27">
        <v>1</v>
      </c>
      <c r="I27">
        <v>0</v>
      </c>
      <c r="J27">
        <v>0</v>
      </c>
      <c r="K27">
        <v>0</v>
      </c>
      <c r="L27">
        <v>0</v>
      </c>
      <c r="M27">
        <v>2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 x14ac:dyDescent="0.25">
      <c r="A28" t="s">
        <v>499</v>
      </c>
      <c r="B28">
        <v>0</v>
      </c>
      <c r="C28">
        <v>0</v>
      </c>
      <c r="D28">
        <v>0</v>
      </c>
      <c r="E28">
        <v>0</v>
      </c>
      <c r="F28">
        <v>0</v>
      </c>
      <c r="G28">
        <v>5</v>
      </c>
      <c r="H28">
        <v>1</v>
      </c>
      <c r="I28">
        <v>0</v>
      </c>
      <c r="J28">
        <v>0</v>
      </c>
      <c r="K28">
        <v>0</v>
      </c>
      <c r="L28">
        <v>0</v>
      </c>
      <c r="M28">
        <v>2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</row>
    <row r="29" spans="1:19" x14ac:dyDescent="0.25">
      <c r="A29" t="s">
        <v>500</v>
      </c>
      <c r="B29">
        <v>1</v>
      </c>
      <c r="C29">
        <v>0</v>
      </c>
      <c r="D29">
        <v>0</v>
      </c>
      <c r="E29">
        <v>1</v>
      </c>
      <c r="F29">
        <v>0</v>
      </c>
      <c r="G29">
        <v>4</v>
      </c>
      <c r="H29">
        <v>0</v>
      </c>
      <c r="I29">
        <v>0</v>
      </c>
      <c r="J29">
        <v>1</v>
      </c>
      <c r="K29">
        <v>2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</row>
    <row r="30" spans="1:19" x14ac:dyDescent="0.25">
      <c r="A30" t="s">
        <v>501</v>
      </c>
      <c r="B30">
        <v>1</v>
      </c>
      <c r="C30">
        <v>0</v>
      </c>
      <c r="D30">
        <v>1</v>
      </c>
      <c r="E30">
        <v>1</v>
      </c>
      <c r="F30">
        <v>0</v>
      </c>
      <c r="G30">
        <v>4</v>
      </c>
      <c r="H30">
        <v>0</v>
      </c>
      <c r="I30">
        <v>0</v>
      </c>
      <c r="J30">
        <v>1</v>
      </c>
      <c r="K30">
        <v>2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</row>
    <row r="31" spans="1:19" x14ac:dyDescent="0.25">
      <c r="A31" t="s">
        <v>502</v>
      </c>
      <c r="B31">
        <v>2</v>
      </c>
      <c r="C31">
        <v>0</v>
      </c>
      <c r="D31">
        <v>1</v>
      </c>
      <c r="E31">
        <v>0</v>
      </c>
      <c r="F31">
        <v>0</v>
      </c>
      <c r="G31">
        <v>5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x14ac:dyDescent="0.25">
      <c r="A32" t="s">
        <v>503</v>
      </c>
      <c r="B32">
        <v>0</v>
      </c>
      <c r="C32">
        <v>0</v>
      </c>
      <c r="D32">
        <v>4</v>
      </c>
      <c r="E32">
        <v>0</v>
      </c>
      <c r="F32">
        <v>0</v>
      </c>
      <c r="G32">
        <v>5</v>
      </c>
      <c r="H32">
        <v>0</v>
      </c>
      <c r="I32">
        <v>0</v>
      </c>
      <c r="J32">
        <v>1</v>
      </c>
      <c r="K32">
        <v>2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</row>
    <row r="33" spans="1:19" x14ac:dyDescent="0.25">
      <c r="A33" t="s">
        <v>504</v>
      </c>
      <c r="B33">
        <v>0</v>
      </c>
      <c r="C33">
        <v>0</v>
      </c>
      <c r="D33">
        <v>5</v>
      </c>
      <c r="E33">
        <v>0</v>
      </c>
      <c r="F33">
        <v>0</v>
      </c>
      <c r="G33">
        <v>5</v>
      </c>
      <c r="H33">
        <v>0</v>
      </c>
      <c r="I33">
        <v>0</v>
      </c>
      <c r="J33">
        <v>1</v>
      </c>
      <c r="K33">
        <v>0</v>
      </c>
      <c r="L33">
        <v>0</v>
      </c>
      <c r="M33">
        <v>2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</row>
    <row r="34" spans="1:19" x14ac:dyDescent="0.25">
      <c r="A34" s="1" t="s">
        <v>629</v>
      </c>
      <c r="B34" s="1">
        <f>SUM(B3:B33)</f>
        <v>7</v>
      </c>
      <c r="C34" s="1">
        <f t="shared" ref="C34:S34" si="0">SUM(C3:C33)</f>
        <v>0</v>
      </c>
      <c r="D34" s="1">
        <f t="shared" si="0"/>
        <v>23</v>
      </c>
      <c r="E34" s="1">
        <f t="shared" si="0"/>
        <v>7</v>
      </c>
      <c r="F34" s="1">
        <f t="shared" si="0"/>
        <v>0</v>
      </c>
      <c r="G34" s="1">
        <f t="shared" si="0"/>
        <v>73</v>
      </c>
      <c r="H34" s="1">
        <f t="shared" si="0"/>
        <v>13</v>
      </c>
      <c r="I34" s="1">
        <f t="shared" si="0"/>
        <v>0</v>
      </c>
      <c r="J34" s="1">
        <f t="shared" si="0"/>
        <v>9</v>
      </c>
      <c r="K34" s="1">
        <f t="shared" si="0"/>
        <v>30</v>
      </c>
      <c r="L34" s="1">
        <f t="shared" si="0"/>
        <v>6</v>
      </c>
      <c r="M34" s="1">
        <f t="shared" si="0"/>
        <v>20</v>
      </c>
      <c r="N34" s="1">
        <f t="shared" si="0"/>
        <v>9</v>
      </c>
      <c r="O34" s="1">
        <f t="shared" si="0"/>
        <v>0</v>
      </c>
      <c r="P34" s="1">
        <f t="shared" si="0"/>
        <v>19</v>
      </c>
      <c r="Q34" s="1">
        <f t="shared" si="0"/>
        <v>0</v>
      </c>
      <c r="R34" s="1">
        <f t="shared" si="0"/>
        <v>0</v>
      </c>
      <c r="S34" s="1">
        <f t="shared" si="0"/>
        <v>30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0.83333333333333337</v>
      </c>
      <c r="L35" s="4"/>
      <c r="M35" s="4"/>
      <c r="N35" s="4">
        <f t="shared" ref="N35" si="4">N34 / (N34 + O34)</f>
        <v>1</v>
      </c>
      <c r="O35" s="4"/>
      <c r="P35" s="4"/>
      <c r="Q35" s="4" t="e">
        <f t="shared" ref="Q35" si="5">Q34 / (Q34 + R34)</f>
        <v>#DIV/0!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0.23333333333333334</v>
      </c>
      <c r="C36" s="4"/>
      <c r="D36" s="4"/>
      <c r="E36" s="4">
        <f t="shared" ref="E36" si="6" xml:space="preserve"> E34 / (E34 + G34)</f>
        <v>8.7499999999999994E-2</v>
      </c>
      <c r="F36" s="4"/>
      <c r="G36" s="4"/>
      <c r="H36" s="4">
        <f t="shared" ref="H36" si="7" xml:space="preserve"> H34 / (H34 + J34)</f>
        <v>0.59090909090909094</v>
      </c>
      <c r="I36" s="4"/>
      <c r="J36" s="4"/>
      <c r="K36" s="4">
        <f t="shared" ref="K36" si="8" xml:space="preserve"> K34 / (K34 + M34)</f>
        <v>0.6</v>
      </c>
      <c r="L36" s="4"/>
      <c r="M36" s="4"/>
      <c r="N36" s="4">
        <f t="shared" ref="N36" si="9" xml:space="preserve"> N34 / (N34 + P34)</f>
        <v>0.32142857142857145</v>
      </c>
      <c r="O36" s="4"/>
      <c r="P36" s="4"/>
      <c r="Q36" s="4">
        <f t="shared" ref="Q36" si="10" xml:space="preserve"> Q34 / (Q34 + S34)</f>
        <v>0</v>
      </c>
      <c r="R36" s="4"/>
      <c r="S36" s="4"/>
    </row>
  </sheetData>
  <mergeCells count="18">
    <mergeCell ref="B36:D36"/>
    <mergeCell ref="E36:G36"/>
    <mergeCell ref="H36:J36"/>
    <mergeCell ref="K36:M36"/>
    <mergeCell ref="N36:P36"/>
    <mergeCell ref="Q36:S36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3D08-D4D1-4A9F-93C1-CE239079C487}">
  <dimension ref="A1:S36"/>
  <sheetViews>
    <sheetView workbookViewId="0">
      <selection activeCell="A34" sqref="A34:S36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505</v>
      </c>
      <c r="B3">
        <v>1</v>
      </c>
      <c r="C3">
        <v>0</v>
      </c>
      <c r="D3">
        <v>4</v>
      </c>
      <c r="E3">
        <v>1</v>
      </c>
      <c r="F3">
        <v>0</v>
      </c>
      <c r="G3">
        <v>4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25">
      <c r="A4" t="s">
        <v>506</v>
      </c>
      <c r="B4">
        <v>0</v>
      </c>
      <c r="C4">
        <v>0</v>
      </c>
      <c r="D4">
        <v>4</v>
      </c>
      <c r="E4">
        <v>0</v>
      </c>
      <c r="F4">
        <v>0</v>
      </c>
      <c r="G4">
        <v>5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</row>
    <row r="5" spans="1:19" x14ac:dyDescent="0.25">
      <c r="A5" t="s">
        <v>507</v>
      </c>
      <c r="B5">
        <v>0</v>
      </c>
      <c r="C5">
        <v>0</v>
      </c>
      <c r="D5">
        <v>3</v>
      </c>
      <c r="E5">
        <v>0</v>
      </c>
      <c r="F5">
        <v>0</v>
      </c>
      <c r="G5">
        <v>5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</row>
    <row r="6" spans="1:19" x14ac:dyDescent="0.25">
      <c r="A6" t="s">
        <v>508</v>
      </c>
      <c r="B6">
        <v>1</v>
      </c>
      <c r="C6">
        <v>0</v>
      </c>
      <c r="D6">
        <v>1</v>
      </c>
      <c r="E6">
        <v>0</v>
      </c>
      <c r="F6">
        <v>0</v>
      </c>
      <c r="G6">
        <v>5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</row>
    <row r="7" spans="1:19" x14ac:dyDescent="0.25">
      <c r="A7" t="s">
        <v>509</v>
      </c>
      <c r="B7">
        <v>1</v>
      </c>
      <c r="C7">
        <v>0</v>
      </c>
      <c r="D7">
        <v>0</v>
      </c>
      <c r="E7">
        <v>0</v>
      </c>
      <c r="F7">
        <v>0</v>
      </c>
      <c r="G7">
        <v>5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</row>
    <row r="8" spans="1:19" x14ac:dyDescent="0.25">
      <c r="A8" t="s">
        <v>510</v>
      </c>
      <c r="B8">
        <v>0</v>
      </c>
      <c r="C8">
        <v>0</v>
      </c>
      <c r="D8">
        <v>0</v>
      </c>
      <c r="E8">
        <v>0</v>
      </c>
      <c r="F8">
        <v>0</v>
      </c>
      <c r="G8">
        <v>5</v>
      </c>
      <c r="H8">
        <v>1</v>
      </c>
      <c r="I8">
        <v>0</v>
      </c>
      <c r="J8">
        <v>0</v>
      </c>
      <c r="K8">
        <v>1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</row>
    <row r="9" spans="1:19" x14ac:dyDescent="0.25">
      <c r="A9" t="s">
        <v>511</v>
      </c>
      <c r="B9">
        <v>0</v>
      </c>
      <c r="C9">
        <v>0</v>
      </c>
      <c r="D9">
        <v>0</v>
      </c>
      <c r="E9">
        <v>1</v>
      </c>
      <c r="F9">
        <v>0</v>
      </c>
      <c r="G9">
        <v>3</v>
      </c>
      <c r="H9">
        <v>1</v>
      </c>
      <c r="I9">
        <v>0</v>
      </c>
      <c r="J9">
        <v>0</v>
      </c>
      <c r="K9">
        <v>0</v>
      </c>
      <c r="L9">
        <v>0</v>
      </c>
      <c r="M9">
        <v>2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</row>
    <row r="10" spans="1:19" x14ac:dyDescent="0.25">
      <c r="A10" t="s">
        <v>512</v>
      </c>
      <c r="B10">
        <v>0</v>
      </c>
      <c r="C10">
        <v>0</v>
      </c>
      <c r="D10">
        <v>0</v>
      </c>
      <c r="E10">
        <v>0</v>
      </c>
      <c r="F10">
        <v>0</v>
      </c>
      <c r="G10">
        <v>3</v>
      </c>
      <c r="H10">
        <v>1</v>
      </c>
      <c r="I10">
        <v>0</v>
      </c>
      <c r="J10">
        <v>0</v>
      </c>
      <c r="K10">
        <v>0</v>
      </c>
      <c r="L10">
        <v>0</v>
      </c>
      <c r="M10">
        <v>2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</row>
    <row r="11" spans="1:19" x14ac:dyDescent="0.25">
      <c r="A11" t="s">
        <v>513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0</v>
      </c>
      <c r="I11">
        <v>0</v>
      </c>
      <c r="J11">
        <v>1</v>
      </c>
      <c r="K11">
        <v>1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 x14ac:dyDescent="0.25">
      <c r="A12" t="s">
        <v>514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19" x14ac:dyDescent="0.25">
      <c r="A13" t="s">
        <v>515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 x14ac:dyDescent="0.25">
      <c r="A14" t="s">
        <v>516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</row>
    <row r="15" spans="1:19" x14ac:dyDescent="0.25">
      <c r="A15" t="s">
        <v>517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</row>
    <row r="16" spans="1:19" x14ac:dyDescent="0.25">
      <c r="A16" t="s">
        <v>518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519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520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521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522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</row>
    <row r="21" spans="1:19" x14ac:dyDescent="0.25">
      <c r="A21" t="s">
        <v>523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</row>
    <row r="22" spans="1:19" x14ac:dyDescent="0.25">
      <c r="A22" t="s">
        <v>524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1</v>
      </c>
      <c r="S22">
        <v>1</v>
      </c>
    </row>
    <row r="23" spans="1:19" x14ac:dyDescent="0.25">
      <c r="A23" t="s">
        <v>525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1</v>
      </c>
      <c r="S23">
        <v>1</v>
      </c>
    </row>
    <row r="24" spans="1:19" x14ac:dyDescent="0.25">
      <c r="A24" t="s">
        <v>526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1</v>
      </c>
      <c r="S24">
        <v>1</v>
      </c>
    </row>
    <row r="25" spans="1:19" x14ac:dyDescent="0.25">
      <c r="A25" t="s">
        <v>527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1</v>
      </c>
      <c r="S25">
        <v>1</v>
      </c>
    </row>
    <row r="26" spans="1:19" x14ac:dyDescent="0.25">
      <c r="A26" t="s">
        <v>528</v>
      </c>
      <c r="B26">
        <v>0</v>
      </c>
      <c r="C26">
        <v>0</v>
      </c>
      <c r="D26">
        <v>0</v>
      </c>
      <c r="E26">
        <v>0</v>
      </c>
      <c r="F26">
        <v>0</v>
      </c>
      <c r="G26">
        <v>3</v>
      </c>
      <c r="H26">
        <v>1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1</v>
      </c>
      <c r="S26">
        <v>1</v>
      </c>
    </row>
    <row r="27" spans="1:19" x14ac:dyDescent="0.25">
      <c r="A27" t="s">
        <v>529</v>
      </c>
      <c r="B27">
        <v>0</v>
      </c>
      <c r="C27">
        <v>0</v>
      </c>
      <c r="D27">
        <v>0</v>
      </c>
      <c r="E27">
        <v>0</v>
      </c>
      <c r="F27">
        <v>0</v>
      </c>
      <c r="G27">
        <v>4</v>
      </c>
      <c r="H27">
        <v>1</v>
      </c>
      <c r="I27">
        <v>0</v>
      </c>
      <c r="J27">
        <v>0</v>
      </c>
      <c r="K27">
        <v>1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1</v>
      </c>
      <c r="S27">
        <v>1</v>
      </c>
    </row>
    <row r="28" spans="1:19" x14ac:dyDescent="0.25">
      <c r="A28" t="s">
        <v>530</v>
      </c>
      <c r="B28">
        <v>0</v>
      </c>
      <c r="C28">
        <v>0</v>
      </c>
      <c r="D28">
        <v>0</v>
      </c>
      <c r="E28">
        <v>0</v>
      </c>
      <c r="F28">
        <v>0</v>
      </c>
      <c r="G28">
        <v>5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1</v>
      </c>
      <c r="S28">
        <v>1</v>
      </c>
    </row>
    <row r="29" spans="1:19" x14ac:dyDescent="0.25">
      <c r="A29" t="s">
        <v>531</v>
      </c>
      <c r="B29">
        <v>0</v>
      </c>
      <c r="C29">
        <v>0</v>
      </c>
      <c r="D29">
        <v>1</v>
      </c>
      <c r="E29">
        <v>1</v>
      </c>
      <c r="F29">
        <v>0</v>
      </c>
      <c r="G29">
        <v>4</v>
      </c>
      <c r="H29">
        <v>0</v>
      </c>
      <c r="I29">
        <v>0</v>
      </c>
      <c r="J29">
        <v>1</v>
      </c>
      <c r="K29">
        <v>1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1</v>
      </c>
      <c r="S29">
        <v>1</v>
      </c>
    </row>
    <row r="30" spans="1:19" x14ac:dyDescent="0.25">
      <c r="A30" t="s">
        <v>532</v>
      </c>
      <c r="B30">
        <v>1</v>
      </c>
      <c r="C30">
        <v>0</v>
      </c>
      <c r="D30">
        <v>1</v>
      </c>
      <c r="E30">
        <v>1</v>
      </c>
      <c r="F30">
        <v>0</v>
      </c>
      <c r="G30">
        <v>4</v>
      </c>
      <c r="H30">
        <v>0</v>
      </c>
      <c r="I30">
        <v>0</v>
      </c>
      <c r="J30">
        <v>1</v>
      </c>
      <c r="K30">
        <v>2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</row>
    <row r="31" spans="1:19" x14ac:dyDescent="0.25">
      <c r="A31" t="s">
        <v>533</v>
      </c>
      <c r="B31">
        <v>0</v>
      </c>
      <c r="C31">
        <v>0</v>
      </c>
      <c r="D31">
        <v>3</v>
      </c>
      <c r="E31">
        <v>0</v>
      </c>
      <c r="F31">
        <v>0</v>
      </c>
      <c r="G31">
        <v>5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0</v>
      </c>
      <c r="O31">
        <v>0</v>
      </c>
      <c r="P31">
        <v>1</v>
      </c>
      <c r="Q31">
        <v>0</v>
      </c>
      <c r="R31">
        <v>1</v>
      </c>
      <c r="S31">
        <v>1</v>
      </c>
    </row>
    <row r="32" spans="1:19" x14ac:dyDescent="0.25">
      <c r="A32" t="s">
        <v>534</v>
      </c>
      <c r="B32">
        <v>2</v>
      </c>
      <c r="C32">
        <v>0</v>
      </c>
      <c r="D32">
        <v>2</v>
      </c>
      <c r="E32">
        <v>0</v>
      </c>
      <c r="F32">
        <v>0</v>
      </c>
      <c r="G32">
        <v>5</v>
      </c>
      <c r="H32">
        <v>0</v>
      </c>
      <c r="I32">
        <v>0</v>
      </c>
      <c r="J32">
        <v>1</v>
      </c>
      <c r="K32">
        <v>1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1</v>
      </c>
      <c r="S32">
        <v>1</v>
      </c>
    </row>
    <row r="33" spans="1:19" x14ac:dyDescent="0.25">
      <c r="A33" t="s">
        <v>535</v>
      </c>
      <c r="B33">
        <v>2</v>
      </c>
      <c r="C33">
        <v>0</v>
      </c>
      <c r="D33">
        <v>3</v>
      </c>
      <c r="E33">
        <v>0</v>
      </c>
      <c r="F33">
        <v>0</v>
      </c>
      <c r="G33">
        <v>5</v>
      </c>
      <c r="H33">
        <v>0</v>
      </c>
      <c r="I33">
        <v>0</v>
      </c>
      <c r="J33">
        <v>1</v>
      </c>
      <c r="K33">
        <v>1</v>
      </c>
      <c r="L33">
        <v>0</v>
      </c>
      <c r="M33">
        <v>1</v>
      </c>
      <c r="N33">
        <v>0</v>
      </c>
      <c r="O33">
        <v>0</v>
      </c>
      <c r="P33">
        <v>1</v>
      </c>
      <c r="Q33">
        <v>0</v>
      </c>
      <c r="R33">
        <v>1</v>
      </c>
      <c r="S33">
        <v>1</v>
      </c>
    </row>
    <row r="34" spans="1:19" x14ac:dyDescent="0.25">
      <c r="A34" s="1" t="s">
        <v>629</v>
      </c>
      <c r="B34" s="1">
        <f>SUM(B3:B33)</f>
        <v>8</v>
      </c>
      <c r="C34" s="1">
        <f t="shared" ref="C34:S34" si="0">SUM(C3:C33)</f>
        <v>0</v>
      </c>
      <c r="D34" s="1">
        <f t="shared" si="0"/>
        <v>22</v>
      </c>
      <c r="E34" s="1">
        <f t="shared" si="0"/>
        <v>5</v>
      </c>
      <c r="F34" s="1">
        <f t="shared" si="0"/>
        <v>0</v>
      </c>
      <c r="G34" s="1">
        <f t="shared" si="0"/>
        <v>75</v>
      </c>
      <c r="H34" s="1">
        <f t="shared" si="0"/>
        <v>8</v>
      </c>
      <c r="I34" s="1">
        <f t="shared" si="0"/>
        <v>0</v>
      </c>
      <c r="J34" s="1">
        <f t="shared" si="0"/>
        <v>14</v>
      </c>
      <c r="K34" s="1">
        <f t="shared" si="0"/>
        <v>29</v>
      </c>
      <c r="L34" s="1">
        <f t="shared" si="0"/>
        <v>6</v>
      </c>
      <c r="M34" s="1">
        <f t="shared" si="0"/>
        <v>21</v>
      </c>
      <c r="N34" s="1">
        <f t="shared" si="0"/>
        <v>12</v>
      </c>
      <c r="O34" s="1">
        <f t="shared" si="0"/>
        <v>0</v>
      </c>
      <c r="P34" s="1">
        <f t="shared" si="0"/>
        <v>16</v>
      </c>
      <c r="Q34" s="1">
        <f t="shared" si="0"/>
        <v>0</v>
      </c>
      <c r="R34" s="1">
        <f t="shared" si="0"/>
        <v>11</v>
      </c>
      <c r="S34" s="1">
        <f t="shared" si="0"/>
        <v>30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0.82857142857142863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0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0.26666666666666666</v>
      </c>
      <c r="C36" s="4"/>
      <c r="D36" s="4"/>
      <c r="E36" s="4">
        <f t="shared" ref="E36" si="6" xml:space="preserve"> E34 / (E34 + G34)</f>
        <v>6.25E-2</v>
      </c>
      <c r="F36" s="4"/>
      <c r="G36" s="4"/>
      <c r="H36" s="4">
        <f t="shared" ref="H36" si="7" xml:space="preserve"> H34 / (H34 + J34)</f>
        <v>0.36363636363636365</v>
      </c>
      <c r="I36" s="4"/>
      <c r="J36" s="4"/>
      <c r="K36" s="4">
        <f t="shared" ref="K36" si="8" xml:space="preserve"> K34 / (K34 + M34)</f>
        <v>0.57999999999999996</v>
      </c>
      <c r="L36" s="4"/>
      <c r="M36" s="4"/>
      <c r="N36" s="4">
        <f t="shared" ref="N36" si="9" xml:space="preserve"> N34 / (N34 + P34)</f>
        <v>0.42857142857142855</v>
      </c>
      <c r="O36" s="4"/>
      <c r="P36" s="4"/>
      <c r="Q36" s="4">
        <f t="shared" ref="Q36" si="10" xml:space="preserve"> Q34 / (Q34 + S34)</f>
        <v>0</v>
      </c>
      <c r="R36" s="4"/>
      <c r="S36" s="4"/>
    </row>
  </sheetData>
  <mergeCells count="18">
    <mergeCell ref="B36:D36"/>
    <mergeCell ref="E36:G36"/>
    <mergeCell ref="H36:J36"/>
    <mergeCell ref="K36:M36"/>
    <mergeCell ref="N36:P36"/>
    <mergeCell ref="Q36:S36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8D63-52F5-4EDF-A35C-3B305A97B644}">
  <dimension ref="A1:S36"/>
  <sheetViews>
    <sheetView workbookViewId="0">
      <selection activeCell="A34" sqref="A34:S36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536</v>
      </c>
      <c r="B3">
        <v>2</v>
      </c>
      <c r="C3">
        <v>0</v>
      </c>
      <c r="D3">
        <v>3</v>
      </c>
      <c r="E3">
        <v>0</v>
      </c>
      <c r="F3">
        <v>0</v>
      </c>
      <c r="G3">
        <v>5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</row>
    <row r="4" spans="1:19" x14ac:dyDescent="0.25">
      <c r="A4" t="s">
        <v>537</v>
      </c>
      <c r="B4">
        <v>2</v>
      </c>
      <c r="C4">
        <v>0</v>
      </c>
      <c r="D4">
        <v>2</v>
      </c>
      <c r="E4">
        <v>0</v>
      </c>
      <c r="F4">
        <v>0</v>
      </c>
      <c r="G4">
        <v>5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1</v>
      </c>
      <c r="S4">
        <v>1</v>
      </c>
    </row>
    <row r="5" spans="1:19" x14ac:dyDescent="0.25">
      <c r="A5" t="s">
        <v>538</v>
      </c>
      <c r="B5">
        <v>1</v>
      </c>
      <c r="C5">
        <v>0</v>
      </c>
      <c r="D5">
        <v>2</v>
      </c>
      <c r="E5">
        <v>0</v>
      </c>
      <c r="F5">
        <v>0</v>
      </c>
      <c r="G5">
        <v>5</v>
      </c>
      <c r="H5">
        <v>0</v>
      </c>
      <c r="I5">
        <v>0</v>
      </c>
      <c r="J5">
        <v>1</v>
      </c>
      <c r="K5">
        <v>1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</row>
    <row r="6" spans="1:19" x14ac:dyDescent="0.25">
      <c r="A6" t="s">
        <v>539</v>
      </c>
      <c r="B6">
        <v>1</v>
      </c>
      <c r="C6">
        <v>0</v>
      </c>
      <c r="D6">
        <v>1</v>
      </c>
      <c r="E6">
        <v>0</v>
      </c>
      <c r="F6">
        <v>0</v>
      </c>
      <c r="G6">
        <v>5</v>
      </c>
      <c r="H6">
        <v>1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1</v>
      </c>
      <c r="S6">
        <v>1</v>
      </c>
    </row>
    <row r="7" spans="1:19" x14ac:dyDescent="0.25">
      <c r="A7" t="s">
        <v>540</v>
      </c>
      <c r="B7">
        <v>1</v>
      </c>
      <c r="C7">
        <v>0</v>
      </c>
      <c r="D7">
        <v>0</v>
      </c>
      <c r="E7">
        <v>0</v>
      </c>
      <c r="F7">
        <v>0</v>
      </c>
      <c r="G7">
        <v>5</v>
      </c>
      <c r="H7">
        <v>0</v>
      </c>
      <c r="I7">
        <v>0</v>
      </c>
      <c r="J7">
        <v>1</v>
      </c>
      <c r="K7">
        <v>1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1</v>
      </c>
      <c r="S7">
        <v>1</v>
      </c>
    </row>
    <row r="8" spans="1:19" x14ac:dyDescent="0.25">
      <c r="A8" t="s">
        <v>541</v>
      </c>
      <c r="B8">
        <v>0</v>
      </c>
      <c r="C8">
        <v>0</v>
      </c>
      <c r="D8">
        <v>0</v>
      </c>
      <c r="E8">
        <v>0</v>
      </c>
      <c r="F8">
        <v>0</v>
      </c>
      <c r="G8">
        <v>5</v>
      </c>
      <c r="H8">
        <v>1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1</v>
      </c>
      <c r="S8">
        <v>1</v>
      </c>
    </row>
    <row r="9" spans="1:19" x14ac:dyDescent="0.25">
      <c r="A9" t="s">
        <v>542</v>
      </c>
      <c r="B9">
        <v>0</v>
      </c>
      <c r="C9">
        <v>0</v>
      </c>
      <c r="D9">
        <v>0</v>
      </c>
      <c r="E9">
        <v>0</v>
      </c>
      <c r="F9">
        <v>0</v>
      </c>
      <c r="G9">
        <v>4</v>
      </c>
      <c r="H9">
        <v>1</v>
      </c>
      <c r="I9">
        <v>0</v>
      </c>
      <c r="J9">
        <v>0</v>
      </c>
      <c r="K9">
        <v>1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1</v>
      </c>
      <c r="S9">
        <v>1</v>
      </c>
    </row>
    <row r="10" spans="1:19" x14ac:dyDescent="0.25">
      <c r="A10" t="s">
        <v>543</v>
      </c>
      <c r="B10">
        <v>0</v>
      </c>
      <c r="C10">
        <v>0</v>
      </c>
      <c r="D10">
        <v>0</v>
      </c>
      <c r="E10">
        <v>0</v>
      </c>
      <c r="F10">
        <v>0</v>
      </c>
      <c r="G10">
        <v>3</v>
      </c>
      <c r="H10">
        <v>1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1</v>
      </c>
      <c r="S10">
        <v>1</v>
      </c>
    </row>
    <row r="11" spans="1:19" x14ac:dyDescent="0.25">
      <c r="A11" t="s">
        <v>544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</row>
    <row r="12" spans="1:19" x14ac:dyDescent="0.25">
      <c r="A12" t="s">
        <v>545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1</v>
      </c>
      <c r="S12">
        <v>1</v>
      </c>
    </row>
    <row r="13" spans="1:19" x14ac:dyDescent="0.25">
      <c r="A13" t="s">
        <v>546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1</v>
      </c>
      <c r="S13">
        <v>1</v>
      </c>
    </row>
    <row r="14" spans="1:19" x14ac:dyDescent="0.25">
      <c r="A14" t="s">
        <v>547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</row>
    <row r="15" spans="1:19" x14ac:dyDescent="0.25">
      <c r="A15" t="s">
        <v>548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</row>
    <row r="16" spans="1:19" x14ac:dyDescent="0.25">
      <c r="A16" t="s">
        <v>549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550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551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552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553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554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</row>
    <row r="22" spans="1:19" x14ac:dyDescent="0.25">
      <c r="A22" t="s">
        <v>555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</row>
    <row r="23" spans="1:19" x14ac:dyDescent="0.25">
      <c r="A23" t="s">
        <v>556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</row>
    <row r="24" spans="1:19" x14ac:dyDescent="0.25">
      <c r="A24" t="s">
        <v>557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</row>
    <row r="25" spans="1:19" x14ac:dyDescent="0.25">
      <c r="A25" t="s">
        <v>558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0</v>
      </c>
      <c r="I25">
        <v>0</v>
      </c>
      <c r="J25">
        <v>1</v>
      </c>
      <c r="K25">
        <v>0</v>
      </c>
      <c r="L25">
        <v>0</v>
      </c>
      <c r="M25">
        <v>2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x14ac:dyDescent="0.25">
      <c r="A26" t="s">
        <v>559</v>
      </c>
      <c r="B26">
        <v>0</v>
      </c>
      <c r="C26">
        <v>0</v>
      </c>
      <c r="D26">
        <v>0</v>
      </c>
      <c r="E26">
        <v>0</v>
      </c>
      <c r="F26">
        <v>0</v>
      </c>
      <c r="G26">
        <v>3</v>
      </c>
      <c r="H26">
        <v>0</v>
      </c>
      <c r="I26">
        <v>1</v>
      </c>
      <c r="J26">
        <v>1</v>
      </c>
      <c r="K26">
        <v>0</v>
      </c>
      <c r="L26">
        <v>1</v>
      </c>
      <c r="M26">
        <v>2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</row>
    <row r="27" spans="1:19" x14ac:dyDescent="0.25">
      <c r="A27" t="s">
        <v>560</v>
      </c>
      <c r="B27">
        <v>0</v>
      </c>
      <c r="C27">
        <v>0</v>
      </c>
      <c r="D27">
        <v>0</v>
      </c>
      <c r="E27">
        <v>0</v>
      </c>
      <c r="F27">
        <v>0</v>
      </c>
      <c r="G27">
        <v>4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</row>
    <row r="28" spans="1:19" x14ac:dyDescent="0.25">
      <c r="A28" t="s">
        <v>561</v>
      </c>
      <c r="B28">
        <v>0</v>
      </c>
      <c r="C28">
        <v>0</v>
      </c>
      <c r="D28">
        <v>0</v>
      </c>
      <c r="E28">
        <v>1</v>
      </c>
      <c r="F28">
        <v>0</v>
      </c>
      <c r="G28">
        <v>4</v>
      </c>
      <c r="H28">
        <v>0</v>
      </c>
      <c r="I28">
        <v>0</v>
      </c>
      <c r="J28">
        <v>1</v>
      </c>
      <c r="K28">
        <v>1</v>
      </c>
      <c r="L28">
        <v>1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</row>
    <row r="29" spans="1:19" x14ac:dyDescent="0.25">
      <c r="A29" t="s">
        <v>562</v>
      </c>
      <c r="B29">
        <v>1</v>
      </c>
      <c r="C29">
        <v>0</v>
      </c>
      <c r="D29">
        <v>0</v>
      </c>
      <c r="E29">
        <v>1</v>
      </c>
      <c r="F29">
        <v>0</v>
      </c>
      <c r="G29">
        <v>4</v>
      </c>
      <c r="H29">
        <v>0</v>
      </c>
      <c r="I29">
        <v>0</v>
      </c>
      <c r="J29">
        <v>1</v>
      </c>
      <c r="K29">
        <v>0</v>
      </c>
      <c r="L29">
        <v>1</v>
      </c>
      <c r="M29">
        <v>2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</row>
    <row r="30" spans="1:19" x14ac:dyDescent="0.25">
      <c r="A30" t="s">
        <v>563</v>
      </c>
      <c r="B30">
        <v>1</v>
      </c>
      <c r="C30">
        <v>0</v>
      </c>
      <c r="D30">
        <v>1</v>
      </c>
      <c r="E30">
        <v>1</v>
      </c>
      <c r="F30">
        <v>0</v>
      </c>
      <c r="G30">
        <v>4</v>
      </c>
      <c r="H30">
        <v>0</v>
      </c>
      <c r="I30">
        <v>0</v>
      </c>
      <c r="J30">
        <v>1</v>
      </c>
      <c r="K30">
        <v>0</v>
      </c>
      <c r="L30">
        <v>1</v>
      </c>
      <c r="M30">
        <v>2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</row>
    <row r="31" spans="1:19" x14ac:dyDescent="0.25">
      <c r="A31" t="s">
        <v>564</v>
      </c>
      <c r="B31">
        <v>1</v>
      </c>
      <c r="C31">
        <v>0</v>
      </c>
      <c r="D31">
        <v>2</v>
      </c>
      <c r="E31">
        <v>1</v>
      </c>
      <c r="F31">
        <v>0</v>
      </c>
      <c r="G31">
        <v>4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</row>
    <row r="32" spans="1:19" x14ac:dyDescent="0.25">
      <c r="A32" t="s">
        <v>565</v>
      </c>
      <c r="B32">
        <v>1</v>
      </c>
      <c r="C32">
        <v>0</v>
      </c>
      <c r="D32">
        <v>3</v>
      </c>
      <c r="E32">
        <v>1</v>
      </c>
      <c r="F32">
        <v>0</v>
      </c>
      <c r="G32">
        <v>4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</row>
    <row r="33" spans="1:19" x14ac:dyDescent="0.25">
      <c r="A33" t="s">
        <v>566</v>
      </c>
      <c r="B33">
        <v>1</v>
      </c>
      <c r="C33">
        <v>0</v>
      </c>
      <c r="D33">
        <v>4</v>
      </c>
      <c r="E33">
        <v>1</v>
      </c>
      <c r="F33">
        <v>0</v>
      </c>
      <c r="G33">
        <v>4</v>
      </c>
      <c r="H33">
        <v>0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</row>
    <row r="34" spans="1:19" x14ac:dyDescent="0.25">
      <c r="A34" s="1" t="s">
        <v>629</v>
      </c>
      <c r="B34" s="1">
        <f>SUM(B3:B33)</f>
        <v>12</v>
      </c>
      <c r="C34" s="1">
        <f t="shared" ref="C34:S34" si="0">SUM(C3:C33)</f>
        <v>0</v>
      </c>
      <c r="D34" s="1">
        <f t="shared" si="0"/>
        <v>18</v>
      </c>
      <c r="E34" s="1">
        <f t="shared" si="0"/>
        <v>8</v>
      </c>
      <c r="F34" s="1">
        <f t="shared" si="0"/>
        <v>0</v>
      </c>
      <c r="G34" s="1">
        <f t="shared" si="0"/>
        <v>72</v>
      </c>
      <c r="H34" s="1">
        <f t="shared" si="0"/>
        <v>7</v>
      </c>
      <c r="I34" s="1">
        <f t="shared" si="0"/>
        <v>1</v>
      </c>
      <c r="J34" s="1">
        <f t="shared" si="0"/>
        <v>15</v>
      </c>
      <c r="K34" s="1">
        <f t="shared" si="0"/>
        <v>25</v>
      </c>
      <c r="L34" s="1">
        <f t="shared" si="0"/>
        <v>13</v>
      </c>
      <c r="M34" s="1">
        <f t="shared" si="0"/>
        <v>25</v>
      </c>
      <c r="N34" s="1">
        <f t="shared" si="0"/>
        <v>4</v>
      </c>
      <c r="O34" s="1">
        <f t="shared" si="0"/>
        <v>0</v>
      </c>
      <c r="P34" s="1">
        <f t="shared" si="0"/>
        <v>24</v>
      </c>
      <c r="Q34" s="1">
        <f t="shared" si="0"/>
        <v>0</v>
      </c>
      <c r="R34" s="1">
        <f t="shared" si="0"/>
        <v>10</v>
      </c>
      <c r="S34" s="1">
        <f t="shared" si="0"/>
        <v>30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0.875</v>
      </c>
      <c r="I35" s="4"/>
      <c r="J35" s="4"/>
      <c r="K35" s="4">
        <f t="shared" ref="K35" si="3">K34 / (K34 + L34)</f>
        <v>0.65789473684210531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0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0.4</v>
      </c>
      <c r="C36" s="4"/>
      <c r="D36" s="4"/>
      <c r="E36" s="4">
        <f t="shared" ref="E36" si="6" xml:space="preserve"> E34 / (E34 + G34)</f>
        <v>0.1</v>
      </c>
      <c r="F36" s="4"/>
      <c r="G36" s="4"/>
      <c r="H36" s="4">
        <f t="shared" ref="H36" si="7" xml:space="preserve"> H34 / (H34 + J34)</f>
        <v>0.31818181818181818</v>
      </c>
      <c r="I36" s="4"/>
      <c r="J36" s="4"/>
      <c r="K36" s="4">
        <f t="shared" ref="K36" si="8" xml:space="preserve"> K34 / (K34 + M34)</f>
        <v>0.5</v>
      </c>
      <c r="L36" s="4"/>
      <c r="M36" s="4"/>
      <c r="N36" s="4">
        <f t="shared" ref="N36" si="9" xml:space="preserve"> N34 / (N34 + P34)</f>
        <v>0.14285714285714285</v>
      </c>
      <c r="O36" s="4"/>
      <c r="P36" s="4"/>
      <c r="Q36" s="4">
        <f t="shared" ref="Q36" si="10" xml:space="preserve"> Q34 / (Q34 + S34)</f>
        <v>0</v>
      </c>
      <c r="R36" s="4"/>
      <c r="S36" s="4"/>
    </row>
  </sheetData>
  <mergeCells count="18">
    <mergeCell ref="B36:D36"/>
    <mergeCell ref="E36:G36"/>
    <mergeCell ref="H36:J36"/>
    <mergeCell ref="K36:M36"/>
    <mergeCell ref="N36:P36"/>
    <mergeCell ref="Q36:S36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E688-B075-494C-8587-0B28CA10D721}">
  <dimension ref="A1:S36"/>
  <sheetViews>
    <sheetView workbookViewId="0">
      <selection activeCell="A34" sqref="A34:S36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567</v>
      </c>
      <c r="B3">
        <v>2</v>
      </c>
      <c r="C3">
        <v>0</v>
      </c>
      <c r="D3">
        <v>3</v>
      </c>
      <c r="E3">
        <v>2</v>
      </c>
      <c r="F3">
        <v>0</v>
      </c>
      <c r="G3">
        <v>3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25">
      <c r="A4" t="s">
        <v>568</v>
      </c>
      <c r="B4">
        <v>3</v>
      </c>
      <c r="C4">
        <v>0</v>
      </c>
      <c r="D4">
        <v>1</v>
      </c>
      <c r="E4">
        <v>1</v>
      </c>
      <c r="F4">
        <v>0</v>
      </c>
      <c r="G4">
        <v>4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</row>
    <row r="5" spans="1:19" x14ac:dyDescent="0.25">
      <c r="A5" t="s">
        <v>569</v>
      </c>
      <c r="B5">
        <v>1</v>
      </c>
      <c r="C5">
        <v>0</v>
      </c>
      <c r="D5">
        <v>2</v>
      </c>
      <c r="E5">
        <v>1</v>
      </c>
      <c r="F5">
        <v>0</v>
      </c>
      <c r="G5">
        <v>4</v>
      </c>
      <c r="H5">
        <v>0</v>
      </c>
      <c r="I5">
        <v>0</v>
      </c>
      <c r="J5">
        <v>1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</row>
    <row r="6" spans="1:19" x14ac:dyDescent="0.25">
      <c r="A6" t="s">
        <v>570</v>
      </c>
      <c r="B6">
        <v>1</v>
      </c>
      <c r="C6">
        <v>0</v>
      </c>
      <c r="D6">
        <v>1</v>
      </c>
      <c r="E6">
        <v>1</v>
      </c>
      <c r="F6">
        <v>0</v>
      </c>
      <c r="G6">
        <v>4</v>
      </c>
      <c r="H6">
        <v>0</v>
      </c>
      <c r="I6">
        <v>0</v>
      </c>
      <c r="J6">
        <v>1</v>
      </c>
      <c r="K6">
        <v>2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</row>
    <row r="7" spans="1:19" x14ac:dyDescent="0.25">
      <c r="A7" t="s">
        <v>571</v>
      </c>
      <c r="B7">
        <v>1</v>
      </c>
      <c r="C7">
        <v>0</v>
      </c>
      <c r="D7">
        <v>0</v>
      </c>
      <c r="E7">
        <v>3</v>
      </c>
      <c r="F7">
        <v>0</v>
      </c>
      <c r="G7">
        <v>2</v>
      </c>
      <c r="H7">
        <v>0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</row>
    <row r="8" spans="1:19" x14ac:dyDescent="0.25">
      <c r="A8" t="s">
        <v>572</v>
      </c>
      <c r="B8">
        <v>0</v>
      </c>
      <c r="C8">
        <v>0</v>
      </c>
      <c r="D8">
        <v>0</v>
      </c>
      <c r="E8">
        <v>2</v>
      </c>
      <c r="F8">
        <v>0</v>
      </c>
      <c r="G8">
        <v>3</v>
      </c>
      <c r="H8">
        <v>0</v>
      </c>
      <c r="I8">
        <v>0</v>
      </c>
      <c r="J8">
        <v>1</v>
      </c>
      <c r="K8">
        <v>1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</row>
    <row r="9" spans="1:19" x14ac:dyDescent="0.25">
      <c r="A9" t="s">
        <v>573</v>
      </c>
      <c r="B9">
        <v>0</v>
      </c>
      <c r="C9">
        <v>0</v>
      </c>
      <c r="D9">
        <v>0</v>
      </c>
      <c r="E9">
        <v>2</v>
      </c>
      <c r="F9">
        <v>0</v>
      </c>
      <c r="G9">
        <v>2</v>
      </c>
      <c r="H9">
        <v>0</v>
      </c>
      <c r="I9">
        <v>0</v>
      </c>
      <c r="J9">
        <v>1</v>
      </c>
      <c r="K9">
        <v>1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</row>
    <row r="10" spans="1:19" x14ac:dyDescent="0.25">
      <c r="A10" t="s">
        <v>574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2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</row>
    <row r="11" spans="1:19" x14ac:dyDescent="0.25">
      <c r="A11" t="s">
        <v>575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 x14ac:dyDescent="0.25">
      <c r="A12" t="s">
        <v>576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2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19" x14ac:dyDescent="0.25">
      <c r="A13" t="s">
        <v>577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2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 x14ac:dyDescent="0.25">
      <c r="A14" t="s">
        <v>578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579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25">
      <c r="A16" t="s">
        <v>580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581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582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583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25">
      <c r="A20" t="s">
        <v>584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585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25">
      <c r="A22" t="s">
        <v>586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 x14ac:dyDescent="0.25">
      <c r="A23" t="s">
        <v>587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 t="s">
        <v>588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1</v>
      </c>
      <c r="S24">
        <v>1</v>
      </c>
    </row>
    <row r="25" spans="1:19" x14ac:dyDescent="0.25">
      <c r="A25" t="s">
        <v>589</v>
      </c>
      <c r="B25">
        <v>0</v>
      </c>
      <c r="C25">
        <v>0</v>
      </c>
      <c r="D25">
        <v>0</v>
      </c>
      <c r="E25">
        <v>1</v>
      </c>
      <c r="F25">
        <v>0</v>
      </c>
      <c r="G25">
        <v>1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1</v>
      </c>
      <c r="S25">
        <v>1</v>
      </c>
    </row>
    <row r="26" spans="1:19" x14ac:dyDescent="0.25">
      <c r="A26" t="s">
        <v>590</v>
      </c>
      <c r="B26">
        <v>0</v>
      </c>
      <c r="C26">
        <v>0</v>
      </c>
      <c r="D26">
        <v>0</v>
      </c>
      <c r="E26">
        <v>2</v>
      </c>
      <c r="F26">
        <v>0</v>
      </c>
      <c r="G26">
        <v>1</v>
      </c>
      <c r="H26">
        <v>1</v>
      </c>
      <c r="I26">
        <v>0</v>
      </c>
      <c r="J26">
        <v>0</v>
      </c>
      <c r="K26">
        <v>1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1</v>
      </c>
      <c r="S26">
        <v>1</v>
      </c>
    </row>
    <row r="27" spans="1:19" x14ac:dyDescent="0.25">
      <c r="A27" t="s">
        <v>591</v>
      </c>
      <c r="B27">
        <v>0</v>
      </c>
      <c r="C27">
        <v>0</v>
      </c>
      <c r="D27">
        <v>0</v>
      </c>
      <c r="E27">
        <v>0</v>
      </c>
      <c r="F27">
        <v>0</v>
      </c>
      <c r="G27">
        <v>4</v>
      </c>
      <c r="H27">
        <v>1</v>
      </c>
      <c r="I27">
        <v>0</v>
      </c>
      <c r="J27">
        <v>0</v>
      </c>
      <c r="K27">
        <v>1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1</v>
      </c>
      <c r="S27">
        <v>1</v>
      </c>
    </row>
    <row r="28" spans="1:19" x14ac:dyDescent="0.25">
      <c r="A28" t="s">
        <v>592</v>
      </c>
      <c r="B28">
        <v>0</v>
      </c>
      <c r="C28">
        <v>0</v>
      </c>
      <c r="D28">
        <v>0</v>
      </c>
      <c r="E28">
        <v>1</v>
      </c>
      <c r="F28">
        <v>0</v>
      </c>
      <c r="G28">
        <v>4</v>
      </c>
      <c r="H28">
        <v>1</v>
      </c>
      <c r="I28">
        <v>0</v>
      </c>
      <c r="J28">
        <v>0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</row>
    <row r="29" spans="1:19" x14ac:dyDescent="0.25">
      <c r="A29" t="s">
        <v>593</v>
      </c>
      <c r="B29">
        <v>1</v>
      </c>
      <c r="C29">
        <v>0</v>
      </c>
      <c r="D29">
        <v>0</v>
      </c>
      <c r="E29">
        <v>0</v>
      </c>
      <c r="F29">
        <v>0</v>
      </c>
      <c r="G29">
        <v>5</v>
      </c>
      <c r="H29">
        <v>0</v>
      </c>
      <c r="I29">
        <v>0</v>
      </c>
      <c r="J29">
        <v>1</v>
      </c>
      <c r="K29">
        <v>2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 x14ac:dyDescent="0.25">
      <c r="A30" t="s">
        <v>594</v>
      </c>
      <c r="B30">
        <v>0</v>
      </c>
      <c r="C30">
        <v>0</v>
      </c>
      <c r="D30">
        <v>2</v>
      </c>
      <c r="E30">
        <v>1</v>
      </c>
      <c r="F30">
        <v>0</v>
      </c>
      <c r="G30">
        <v>4</v>
      </c>
      <c r="H30">
        <v>0</v>
      </c>
      <c r="I30">
        <v>0</v>
      </c>
      <c r="J30">
        <v>1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</row>
    <row r="31" spans="1:19" x14ac:dyDescent="0.25">
      <c r="A31" t="s">
        <v>595</v>
      </c>
      <c r="B31">
        <v>0</v>
      </c>
      <c r="C31">
        <v>0</v>
      </c>
      <c r="D31">
        <v>3</v>
      </c>
      <c r="E31">
        <v>1</v>
      </c>
      <c r="F31">
        <v>0</v>
      </c>
      <c r="G31">
        <v>4</v>
      </c>
      <c r="H31">
        <v>0</v>
      </c>
      <c r="I31">
        <v>0</v>
      </c>
      <c r="J31">
        <v>1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x14ac:dyDescent="0.25">
      <c r="A32" t="s">
        <v>596</v>
      </c>
      <c r="B32">
        <v>0</v>
      </c>
      <c r="C32">
        <v>0</v>
      </c>
      <c r="D32">
        <v>4</v>
      </c>
      <c r="E32">
        <v>1</v>
      </c>
      <c r="F32">
        <v>0</v>
      </c>
      <c r="G32">
        <v>4</v>
      </c>
      <c r="H32">
        <v>0</v>
      </c>
      <c r="I32">
        <v>0</v>
      </c>
      <c r="J32">
        <v>1</v>
      </c>
      <c r="K32">
        <v>1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1</v>
      </c>
      <c r="S32">
        <v>1</v>
      </c>
    </row>
    <row r="33" spans="1:19" x14ac:dyDescent="0.25">
      <c r="A33" t="s">
        <v>597</v>
      </c>
      <c r="B33">
        <v>0</v>
      </c>
      <c r="C33">
        <v>0</v>
      </c>
      <c r="D33">
        <v>5</v>
      </c>
      <c r="E33">
        <v>1</v>
      </c>
      <c r="F33">
        <v>0</v>
      </c>
      <c r="G33">
        <v>4</v>
      </c>
      <c r="H33">
        <v>0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1</v>
      </c>
      <c r="S33">
        <v>1</v>
      </c>
    </row>
    <row r="34" spans="1:19" x14ac:dyDescent="0.25">
      <c r="A34" s="1" t="s">
        <v>629</v>
      </c>
      <c r="B34" s="1">
        <f>SUM(B3:B33)</f>
        <v>9</v>
      </c>
      <c r="C34" s="1">
        <f t="shared" ref="C34:S34" si="0">SUM(C3:C33)</f>
        <v>0</v>
      </c>
      <c r="D34" s="1">
        <f t="shared" si="0"/>
        <v>21</v>
      </c>
      <c r="E34" s="1">
        <f t="shared" si="0"/>
        <v>24</v>
      </c>
      <c r="F34" s="1">
        <f t="shared" si="0"/>
        <v>0</v>
      </c>
      <c r="G34" s="1">
        <f t="shared" si="0"/>
        <v>56</v>
      </c>
      <c r="H34" s="1">
        <f t="shared" si="0"/>
        <v>6</v>
      </c>
      <c r="I34" s="1">
        <f t="shared" si="0"/>
        <v>0</v>
      </c>
      <c r="J34" s="1">
        <f t="shared" si="0"/>
        <v>16</v>
      </c>
      <c r="K34" s="1">
        <f t="shared" si="0"/>
        <v>33</v>
      </c>
      <c r="L34" s="1">
        <f t="shared" si="0"/>
        <v>2</v>
      </c>
      <c r="M34" s="1">
        <f t="shared" si="0"/>
        <v>17</v>
      </c>
      <c r="N34" s="1">
        <f t="shared" si="0"/>
        <v>27</v>
      </c>
      <c r="O34" s="1">
        <f t="shared" si="0"/>
        <v>0</v>
      </c>
      <c r="P34" s="1">
        <f t="shared" si="0"/>
        <v>1</v>
      </c>
      <c r="Q34" s="1">
        <f t="shared" si="0"/>
        <v>2</v>
      </c>
      <c r="R34" s="1">
        <f t="shared" si="0"/>
        <v>6</v>
      </c>
      <c r="S34" s="1">
        <f t="shared" si="0"/>
        <v>28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0.94285714285714284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0.25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0.3</v>
      </c>
      <c r="C36" s="4"/>
      <c r="D36" s="4"/>
      <c r="E36" s="4">
        <f t="shared" ref="E36" si="6" xml:space="preserve"> E34 / (E34 + G34)</f>
        <v>0.3</v>
      </c>
      <c r="F36" s="4"/>
      <c r="G36" s="4"/>
      <c r="H36" s="4">
        <f t="shared" ref="H36" si="7" xml:space="preserve"> H34 / (H34 + J34)</f>
        <v>0.27272727272727271</v>
      </c>
      <c r="I36" s="4"/>
      <c r="J36" s="4"/>
      <c r="K36" s="4">
        <f t="shared" ref="K36" si="8" xml:space="preserve"> K34 / (K34 + M34)</f>
        <v>0.66</v>
      </c>
      <c r="L36" s="4"/>
      <c r="M36" s="4"/>
      <c r="N36" s="4">
        <f t="shared" ref="N36" si="9" xml:space="preserve"> N34 / (N34 + P34)</f>
        <v>0.9642857142857143</v>
      </c>
      <c r="O36" s="4"/>
      <c r="P36" s="4"/>
      <c r="Q36" s="4">
        <f t="shared" ref="Q36" si="10" xml:space="preserve"> Q34 / (Q34 + S34)</f>
        <v>6.6666666666666666E-2</v>
      </c>
      <c r="R36" s="4"/>
      <c r="S36" s="4"/>
    </row>
  </sheetData>
  <mergeCells count="18">
    <mergeCell ref="B36:D36"/>
    <mergeCell ref="E36:G36"/>
    <mergeCell ref="H36:J36"/>
    <mergeCell ref="K36:M36"/>
    <mergeCell ref="N36:P36"/>
    <mergeCell ref="Q36:S36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E9FB-CD73-4161-B808-B45E4DB8C719}">
  <dimension ref="A1:S36"/>
  <sheetViews>
    <sheetView topLeftCell="A10" workbookViewId="0">
      <selection activeCell="A35" sqref="A35:S36"/>
    </sheetView>
  </sheetViews>
  <sheetFormatPr defaultRowHeight="15" x14ac:dyDescent="0.25"/>
  <cols>
    <col min="1" max="1" width="32.42578125" bestFit="1" customWidth="1"/>
  </cols>
  <sheetData>
    <row r="1" spans="1:19" x14ac:dyDescent="0.25">
      <c r="A1" s="1"/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A2" s="2" t="s">
        <v>9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A3" t="s">
        <v>598</v>
      </c>
      <c r="B3">
        <v>0</v>
      </c>
      <c r="C3">
        <v>0</v>
      </c>
      <c r="D3">
        <v>5</v>
      </c>
      <c r="E3">
        <v>4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2</v>
      </c>
      <c r="N3">
        <v>0</v>
      </c>
      <c r="O3">
        <v>0</v>
      </c>
      <c r="P3">
        <v>1</v>
      </c>
      <c r="Q3">
        <v>0</v>
      </c>
      <c r="R3">
        <v>1</v>
      </c>
      <c r="S3">
        <v>1</v>
      </c>
    </row>
    <row r="4" spans="1:19" x14ac:dyDescent="0.25">
      <c r="A4" t="s">
        <v>599</v>
      </c>
      <c r="B4">
        <v>0</v>
      </c>
      <c r="C4">
        <v>0</v>
      </c>
      <c r="D4">
        <v>4</v>
      </c>
      <c r="E4">
        <v>3</v>
      </c>
      <c r="F4">
        <v>0</v>
      </c>
      <c r="G4">
        <v>2</v>
      </c>
      <c r="H4">
        <v>1</v>
      </c>
      <c r="I4">
        <v>0</v>
      </c>
      <c r="J4">
        <v>0</v>
      </c>
      <c r="K4">
        <v>0</v>
      </c>
      <c r="L4">
        <v>1</v>
      </c>
      <c r="M4">
        <v>2</v>
      </c>
      <c r="N4">
        <v>0</v>
      </c>
      <c r="O4">
        <v>0</v>
      </c>
      <c r="P4">
        <v>1</v>
      </c>
      <c r="Q4">
        <v>0</v>
      </c>
      <c r="R4">
        <v>1</v>
      </c>
      <c r="S4">
        <v>1</v>
      </c>
    </row>
    <row r="5" spans="1:19" x14ac:dyDescent="0.25">
      <c r="A5" t="s">
        <v>600</v>
      </c>
      <c r="B5">
        <v>0</v>
      </c>
      <c r="C5">
        <v>0</v>
      </c>
      <c r="D5">
        <v>3</v>
      </c>
      <c r="E5">
        <v>4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1</v>
      </c>
      <c r="M5">
        <v>2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</row>
    <row r="6" spans="1:19" x14ac:dyDescent="0.25">
      <c r="A6" t="s">
        <v>601</v>
      </c>
      <c r="B6">
        <v>1</v>
      </c>
      <c r="C6">
        <v>0</v>
      </c>
      <c r="D6">
        <v>1</v>
      </c>
      <c r="E6">
        <v>4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1</v>
      </c>
      <c r="M6">
        <v>2</v>
      </c>
      <c r="N6">
        <v>0</v>
      </c>
      <c r="O6">
        <v>0</v>
      </c>
      <c r="P6">
        <v>1</v>
      </c>
      <c r="Q6">
        <v>0</v>
      </c>
      <c r="R6">
        <v>1</v>
      </c>
      <c r="S6">
        <v>1</v>
      </c>
    </row>
    <row r="7" spans="1:19" x14ac:dyDescent="0.25">
      <c r="A7" t="s">
        <v>602</v>
      </c>
      <c r="B7">
        <v>1</v>
      </c>
      <c r="C7">
        <v>0</v>
      </c>
      <c r="D7">
        <v>0</v>
      </c>
      <c r="E7">
        <v>4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1</v>
      </c>
      <c r="M7">
        <v>2</v>
      </c>
      <c r="N7">
        <v>0</v>
      </c>
      <c r="O7">
        <v>0</v>
      </c>
      <c r="P7">
        <v>1</v>
      </c>
      <c r="Q7">
        <v>0</v>
      </c>
      <c r="R7">
        <v>1</v>
      </c>
      <c r="S7">
        <v>1</v>
      </c>
    </row>
    <row r="8" spans="1:19" x14ac:dyDescent="0.25">
      <c r="A8" t="s">
        <v>603</v>
      </c>
      <c r="B8">
        <v>0</v>
      </c>
      <c r="C8">
        <v>0</v>
      </c>
      <c r="D8">
        <v>0</v>
      </c>
      <c r="E8">
        <v>4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1</v>
      </c>
      <c r="M8">
        <v>2</v>
      </c>
      <c r="N8">
        <v>0</v>
      </c>
      <c r="O8">
        <v>0</v>
      </c>
      <c r="P8">
        <v>1</v>
      </c>
      <c r="Q8">
        <v>0</v>
      </c>
      <c r="R8">
        <v>1</v>
      </c>
      <c r="S8">
        <v>1</v>
      </c>
    </row>
    <row r="9" spans="1:19" x14ac:dyDescent="0.25">
      <c r="A9" t="s">
        <v>604</v>
      </c>
      <c r="B9">
        <v>0</v>
      </c>
      <c r="C9">
        <v>0</v>
      </c>
      <c r="D9">
        <v>0</v>
      </c>
      <c r="E9">
        <v>2</v>
      </c>
      <c r="F9">
        <v>0</v>
      </c>
      <c r="G9">
        <v>2</v>
      </c>
      <c r="H9">
        <v>1</v>
      </c>
      <c r="I9">
        <v>0</v>
      </c>
      <c r="J9">
        <v>0</v>
      </c>
      <c r="K9">
        <v>0</v>
      </c>
      <c r="L9">
        <v>0</v>
      </c>
      <c r="M9">
        <v>2</v>
      </c>
      <c r="N9">
        <v>0</v>
      </c>
      <c r="O9">
        <v>0</v>
      </c>
      <c r="P9">
        <v>1</v>
      </c>
      <c r="Q9">
        <v>0</v>
      </c>
      <c r="R9">
        <v>1</v>
      </c>
      <c r="S9">
        <v>1</v>
      </c>
    </row>
    <row r="10" spans="1:19" x14ac:dyDescent="0.25">
      <c r="A10" t="s">
        <v>605</v>
      </c>
      <c r="B10">
        <v>0</v>
      </c>
      <c r="C10">
        <v>0</v>
      </c>
      <c r="D10">
        <v>0</v>
      </c>
      <c r="E10">
        <v>0</v>
      </c>
      <c r="F10">
        <v>0</v>
      </c>
      <c r="G10">
        <v>3</v>
      </c>
      <c r="H10">
        <v>1</v>
      </c>
      <c r="I10">
        <v>0</v>
      </c>
      <c r="J10">
        <v>0</v>
      </c>
      <c r="K10">
        <v>0</v>
      </c>
      <c r="L10">
        <v>1</v>
      </c>
      <c r="M10">
        <v>2</v>
      </c>
      <c r="N10">
        <v>0</v>
      </c>
      <c r="O10">
        <v>0</v>
      </c>
      <c r="P10">
        <v>1</v>
      </c>
      <c r="Q10">
        <v>0</v>
      </c>
      <c r="R10">
        <v>1</v>
      </c>
      <c r="S10">
        <v>1</v>
      </c>
    </row>
    <row r="11" spans="1:19" x14ac:dyDescent="0.25">
      <c r="A11" t="s">
        <v>606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1</v>
      </c>
      <c r="M11">
        <v>2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</row>
    <row r="12" spans="1:19" x14ac:dyDescent="0.25">
      <c r="A12" t="s">
        <v>607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  <c r="M12">
        <v>2</v>
      </c>
      <c r="N12">
        <v>0</v>
      </c>
      <c r="O12">
        <v>0</v>
      </c>
      <c r="P12">
        <v>1</v>
      </c>
      <c r="Q12">
        <v>0</v>
      </c>
      <c r="R12">
        <v>1</v>
      </c>
      <c r="S12">
        <v>1</v>
      </c>
    </row>
    <row r="13" spans="1:19" x14ac:dyDescent="0.25">
      <c r="A13" t="s">
        <v>608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2</v>
      </c>
      <c r="N13">
        <v>0</v>
      </c>
      <c r="O13">
        <v>0</v>
      </c>
      <c r="P13">
        <v>1</v>
      </c>
      <c r="Q13">
        <v>0</v>
      </c>
      <c r="R13">
        <v>1</v>
      </c>
      <c r="S13">
        <v>1</v>
      </c>
    </row>
    <row r="14" spans="1:19" x14ac:dyDescent="0.25">
      <c r="A14" t="s">
        <v>609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</row>
    <row r="15" spans="1:19" x14ac:dyDescent="0.25">
      <c r="A15" t="s">
        <v>610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</row>
    <row r="16" spans="1:19" x14ac:dyDescent="0.25">
      <c r="A16" t="s">
        <v>611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 t="s">
        <v>612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613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614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25">
      <c r="A20" t="s">
        <v>615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 x14ac:dyDescent="0.25">
      <c r="A21" t="s">
        <v>616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25">
      <c r="A22" t="s">
        <v>617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</row>
    <row r="23" spans="1:19" x14ac:dyDescent="0.25">
      <c r="A23" t="s">
        <v>618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</row>
    <row r="24" spans="1:19" x14ac:dyDescent="0.25">
      <c r="A24" t="s">
        <v>619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</row>
    <row r="25" spans="1:19" x14ac:dyDescent="0.25">
      <c r="A25" t="s">
        <v>620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0</v>
      </c>
      <c r="I25">
        <v>0</v>
      </c>
      <c r="J25">
        <v>1</v>
      </c>
      <c r="K25">
        <v>1</v>
      </c>
      <c r="L25">
        <v>1</v>
      </c>
      <c r="M25">
        <v>1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</row>
    <row r="26" spans="1:19" x14ac:dyDescent="0.25">
      <c r="A26" t="s">
        <v>621</v>
      </c>
      <c r="B26">
        <v>0</v>
      </c>
      <c r="C26">
        <v>0</v>
      </c>
      <c r="D26">
        <v>0</v>
      </c>
      <c r="E26">
        <v>0</v>
      </c>
      <c r="F26">
        <v>0</v>
      </c>
      <c r="G26">
        <v>3</v>
      </c>
      <c r="H26">
        <v>0</v>
      </c>
      <c r="I26">
        <v>0</v>
      </c>
      <c r="J26">
        <v>1</v>
      </c>
      <c r="K26">
        <v>1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</row>
    <row r="27" spans="1:19" x14ac:dyDescent="0.25">
      <c r="A27" t="s">
        <v>622</v>
      </c>
      <c r="B27">
        <v>0</v>
      </c>
      <c r="C27">
        <v>0</v>
      </c>
      <c r="D27">
        <v>0</v>
      </c>
      <c r="E27">
        <v>1</v>
      </c>
      <c r="F27">
        <v>0</v>
      </c>
      <c r="G27">
        <v>3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</row>
    <row r="28" spans="1:19" x14ac:dyDescent="0.25">
      <c r="A28" t="s">
        <v>623</v>
      </c>
      <c r="B28">
        <v>0</v>
      </c>
      <c r="C28">
        <v>0</v>
      </c>
      <c r="D28">
        <v>0</v>
      </c>
      <c r="E28">
        <v>0</v>
      </c>
      <c r="F28">
        <v>0</v>
      </c>
      <c r="G28">
        <v>5</v>
      </c>
      <c r="H28">
        <v>0</v>
      </c>
      <c r="I28">
        <v>0</v>
      </c>
      <c r="J28">
        <v>1</v>
      </c>
      <c r="K28">
        <v>1</v>
      </c>
      <c r="L28">
        <v>1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</row>
    <row r="29" spans="1:19" x14ac:dyDescent="0.25">
      <c r="A29" t="s">
        <v>624</v>
      </c>
      <c r="B29">
        <v>1</v>
      </c>
      <c r="C29">
        <v>0</v>
      </c>
      <c r="D29">
        <v>0</v>
      </c>
      <c r="E29">
        <v>0</v>
      </c>
      <c r="F29">
        <v>0</v>
      </c>
      <c r="G29">
        <v>5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</row>
    <row r="30" spans="1:19" x14ac:dyDescent="0.25">
      <c r="A30" t="s">
        <v>625</v>
      </c>
      <c r="B30">
        <v>1</v>
      </c>
      <c r="C30">
        <v>0</v>
      </c>
      <c r="D30">
        <v>1</v>
      </c>
      <c r="E30">
        <v>0</v>
      </c>
      <c r="F30">
        <v>0</v>
      </c>
      <c r="G30">
        <v>5</v>
      </c>
      <c r="H30">
        <v>0</v>
      </c>
      <c r="I30">
        <v>0</v>
      </c>
      <c r="J30">
        <v>1</v>
      </c>
      <c r="K30">
        <v>1</v>
      </c>
      <c r="L30">
        <v>1</v>
      </c>
      <c r="M30">
        <v>1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</row>
    <row r="31" spans="1:19" x14ac:dyDescent="0.25">
      <c r="A31" t="s">
        <v>626</v>
      </c>
      <c r="B31">
        <v>0</v>
      </c>
      <c r="C31">
        <v>0</v>
      </c>
      <c r="D31">
        <v>3</v>
      </c>
      <c r="E31">
        <v>0</v>
      </c>
      <c r="F31">
        <v>0</v>
      </c>
      <c r="G31">
        <v>5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</row>
    <row r="32" spans="1:19" x14ac:dyDescent="0.25">
      <c r="A32" t="s">
        <v>627</v>
      </c>
      <c r="B32">
        <v>1</v>
      </c>
      <c r="C32">
        <v>0</v>
      </c>
      <c r="D32">
        <v>3</v>
      </c>
      <c r="E32">
        <v>0</v>
      </c>
      <c r="F32">
        <v>0</v>
      </c>
      <c r="G32">
        <v>5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</row>
    <row r="33" spans="1:19" x14ac:dyDescent="0.25">
      <c r="A33" t="s">
        <v>628</v>
      </c>
      <c r="B33">
        <v>1</v>
      </c>
      <c r="C33">
        <v>0</v>
      </c>
      <c r="D33">
        <v>4</v>
      </c>
      <c r="E33">
        <v>0</v>
      </c>
      <c r="F33">
        <v>0</v>
      </c>
      <c r="G33">
        <v>5</v>
      </c>
      <c r="H33">
        <v>0</v>
      </c>
      <c r="I33">
        <v>0</v>
      </c>
      <c r="J33">
        <v>1</v>
      </c>
      <c r="K33">
        <v>1</v>
      </c>
      <c r="L33">
        <v>1</v>
      </c>
      <c r="M33">
        <v>1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</row>
    <row r="34" spans="1:19" x14ac:dyDescent="0.25">
      <c r="A34" s="1" t="s">
        <v>629</v>
      </c>
      <c r="B34" s="1">
        <f>SUM(B3:B33)</f>
        <v>6</v>
      </c>
      <c r="C34" s="1">
        <f t="shared" ref="C34:S34" si="0">SUM(C3:C33)</f>
        <v>0</v>
      </c>
      <c r="D34" s="1">
        <f t="shared" si="0"/>
        <v>24</v>
      </c>
      <c r="E34" s="1">
        <f t="shared" si="0"/>
        <v>27</v>
      </c>
      <c r="F34" s="1">
        <f t="shared" si="0"/>
        <v>0</v>
      </c>
      <c r="G34" s="1">
        <f t="shared" si="0"/>
        <v>53</v>
      </c>
      <c r="H34" s="1">
        <f t="shared" si="0"/>
        <v>11</v>
      </c>
      <c r="I34" s="1">
        <f t="shared" si="0"/>
        <v>0</v>
      </c>
      <c r="J34" s="1">
        <f t="shared" si="0"/>
        <v>11</v>
      </c>
      <c r="K34" s="1">
        <f t="shared" si="0"/>
        <v>18</v>
      </c>
      <c r="L34" s="1">
        <f t="shared" si="0"/>
        <v>23</v>
      </c>
      <c r="M34" s="1">
        <f t="shared" si="0"/>
        <v>32</v>
      </c>
      <c r="N34" s="1">
        <f t="shared" si="0"/>
        <v>3</v>
      </c>
      <c r="O34" s="1">
        <f t="shared" si="0"/>
        <v>0</v>
      </c>
      <c r="P34" s="1">
        <f t="shared" si="0"/>
        <v>25</v>
      </c>
      <c r="Q34" s="1">
        <f t="shared" si="0"/>
        <v>0</v>
      </c>
      <c r="R34" s="1">
        <f t="shared" si="0"/>
        <v>11</v>
      </c>
      <c r="S34" s="1">
        <f t="shared" si="0"/>
        <v>30</v>
      </c>
    </row>
    <row r="35" spans="1:19" x14ac:dyDescent="0.25">
      <c r="A35" s="1" t="s">
        <v>630</v>
      </c>
      <c r="B35" s="4">
        <f>B34 / (B34 + C34)</f>
        <v>1</v>
      </c>
      <c r="C35" s="4"/>
      <c r="D35" s="4"/>
      <c r="E35" s="4">
        <f t="shared" ref="E35" si="1">E34 / (E34 + F34)</f>
        <v>1</v>
      </c>
      <c r="F35" s="4"/>
      <c r="G35" s="4"/>
      <c r="H35" s="4">
        <f t="shared" ref="H35" si="2">H34 / (H34 + I34)</f>
        <v>1</v>
      </c>
      <c r="I35" s="4"/>
      <c r="J35" s="4"/>
      <c r="K35" s="4">
        <f t="shared" ref="K35" si="3">K34 / (K34 + L34)</f>
        <v>0.43902439024390244</v>
      </c>
      <c r="L35" s="4"/>
      <c r="M35" s="4"/>
      <c r="N35" s="4">
        <f t="shared" ref="N35" si="4">N34 / (N34 + O34)</f>
        <v>1</v>
      </c>
      <c r="O35" s="4"/>
      <c r="P35" s="4"/>
      <c r="Q35" s="4">
        <f t="shared" ref="Q35" si="5">Q34 / (Q34 + R34)</f>
        <v>0</v>
      </c>
      <c r="R35" s="4"/>
      <c r="S35" s="4"/>
    </row>
    <row r="36" spans="1:19" x14ac:dyDescent="0.25">
      <c r="A36" s="1" t="s">
        <v>631</v>
      </c>
      <c r="B36" s="4">
        <f xml:space="preserve"> B34 / (B34 + D34)</f>
        <v>0.2</v>
      </c>
      <c r="C36" s="4"/>
      <c r="D36" s="4"/>
      <c r="E36" s="4">
        <f t="shared" ref="E36" si="6" xml:space="preserve"> E34 / (E34 + G34)</f>
        <v>0.33750000000000002</v>
      </c>
      <c r="F36" s="4"/>
      <c r="G36" s="4"/>
      <c r="H36" s="4">
        <f t="shared" ref="H36" si="7" xml:space="preserve"> H34 / (H34 + J34)</f>
        <v>0.5</v>
      </c>
      <c r="I36" s="4"/>
      <c r="J36" s="4"/>
      <c r="K36" s="4">
        <f t="shared" ref="K36" si="8" xml:space="preserve"> K34 / (K34 + M34)</f>
        <v>0.36</v>
      </c>
      <c r="L36" s="4"/>
      <c r="M36" s="4"/>
      <c r="N36" s="4">
        <f t="shared" ref="N36" si="9" xml:space="preserve"> N34 / (N34 + P34)</f>
        <v>0.10714285714285714</v>
      </c>
      <c r="O36" s="4"/>
      <c r="P36" s="4"/>
      <c r="Q36" s="4">
        <f t="shared" ref="Q36" si="10" xml:space="preserve"> Q34 / (Q34 + S34)</f>
        <v>0</v>
      </c>
      <c r="R36" s="4"/>
      <c r="S36" s="4"/>
    </row>
  </sheetData>
  <mergeCells count="18">
    <mergeCell ref="B36:D36"/>
    <mergeCell ref="E36:G36"/>
    <mergeCell ref="H36:J36"/>
    <mergeCell ref="K36:M36"/>
    <mergeCell ref="N36:P36"/>
    <mergeCell ref="Q36:S36"/>
    <mergeCell ref="B35:D35"/>
    <mergeCell ref="E35:G35"/>
    <mergeCell ref="H35:J35"/>
    <mergeCell ref="K35:M35"/>
    <mergeCell ref="N35:P35"/>
    <mergeCell ref="Q35:S35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D459-E201-45C4-9825-47804936B73C}">
  <dimension ref="A1:S5"/>
  <sheetViews>
    <sheetView tabSelected="1" workbookViewId="0">
      <selection activeCell="B3" sqref="B3"/>
    </sheetView>
  </sheetViews>
  <sheetFormatPr defaultRowHeight="15" x14ac:dyDescent="0.25"/>
  <cols>
    <col min="1" max="1" width="9.28515625" customWidth="1"/>
  </cols>
  <sheetData>
    <row r="1" spans="1:19" x14ac:dyDescent="0.25"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</row>
    <row r="2" spans="1:19" x14ac:dyDescent="0.25"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  <c r="Q2" s="1" t="s">
        <v>6</v>
      </c>
      <c r="R2" s="1" t="s">
        <v>7</v>
      </c>
      <c r="S2" s="1" t="s">
        <v>8</v>
      </c>
    </row>
    <row r="3" spans="1:19" x14ac:dyDescent="0.25">
      <c r="B3" s="5">
        <f>SUM('rodada 1'!B34,'rodada 2'!B34,'rodada 3'!B34,'rodada 4'!B34,'rodada 5'!B34,'rodada 6'!B34,'rodada 7'!B34,'rodada 8'!B34,'rodada 9'!B34,'rodada 10'!B34,'rodada 11'!B34,'rodada 12'!B34,'rodada 13'!B33,'rodada 14'!B34,'rodada 15'!B34, 'rodada 16'!B34,'rodada 17'!B34,'rodada 18'!B34,'rodada 19'!B34,'rodada 20'!B34,)</f>
        <v>151</v>
      </c>
      <c r="C3" s="5">
        <f>SUM('rodada 1'!C34,'rodada 2'!C34,'rodada 3'!C34,'rodada 4'!C34,'rodada 5'!C34,'rodada 6'!C34,'rodada 7'!C34,'rodada 8'!C34,'rodada 9'!C34,'rodada 10'!C34,'rodada 11'!C34,'rodada 12'!C34,'rodada 13'!C33,'rodada 14'!C34,'rodada 15'!C34, 'rodada 16'!C34,'rodada 17'!C34,'rodada 18'!C34,'rodada 19'!C34,'rodada 20'!C34,)</f>
        <v>1</v>
      </c>
      <c r="D3" s="5">
        <f>SUM('rodada 1'!D34,'rodada 2'!D34,'rodada 3'!D34,'rodada 4'!D34,'rodada 5'!D34,'rodada 6'!D34,'rodada 7'!D34,'rodada 8'!D34,'rodada 9'!D34,'rodada 10'!D34,'rodada 11'!D34,'rodada 12'!D34,'rodada 13'!D33,'rodada 14'!D34,'rodada 15'!D34, 'rodada 16'!D34,'rodada 17'!D34,'rodada 18'!D34,'rodada 19'!D34,'rodada 20'!D34,)</f>
        <v>449</v>
      </c>
      <c r="E3" s="5">
        <f>SUM('rodada 1'!E34,'rodada 2'!E34,'rodada 3'!E34,'rodada 4'!E34,'rodada 5'!E34,'rodada 6'!E34,'rodada 7'!E34,'rodada 8'!E34,'rodada 9'!E34,'rodada 10'!E34,'rodada 11'!E34,'rodada 12'!E34,'rodada 13'!E33,'rodada 14'!E34,'rodada 15'!E34, 'rodada 16'!E34,'rodada 17'!E34,'rodada 18'!E34,'rodada 19'!E34,'rodada 20'!E34,)</f>
        <v>318</v>
      </c>
      <c r="F3" s="5">
        <f>SUM('rodada 1'!F34,'rodada 2'!F34,'rodada 3'!F34,'rodada 4'!F34,'rodada 5'!F34,'rodada 6'!F34,'rodada 7'!F34,'rodada 8'!F34,'rodada 9'!F34,'rodada 10'!F34,'rodada 11'!F34,'rodada 12'!F34,'rodada 13'!F33,'rodada 14'!F34,'rodada 15'!F34, 'rodada 16'!F34,'rodada 17'!F34,'rodada 18'!F34,'rodada 19'!F34,'rodada 20'!F34,)</f>
        <v>5</v>
      </c>
      <c r="G3" s="5">
        <f>SUM('rodada 1'!G34,'rodada 2'!G34,'rodada 3'!G34,'rodada 4'!G34,'rodada 5'!G34,'rodada 6'!G34,'rodada 7'!G34,'rodada 8'!G34,'rodada 9'!G34,'rodada 10'!G34,'rodada 11'!G34,'rodada 12'!G34,'rodada 13'!G33,'rodada 14'!G34,'rodada 15'!G34, 'rodada 16'!G34,'rodada 17'!G34,'rodada 18'!G34,'rodada 19'!G34,'rodada 20'!G34,)</f>
        <v>1282</v>
      </c>
      <c r="H3" s="5">
        <f>SUM('rodada 1'!H34,'rodada 2'!H34,'rodada 3'!H34,'rodada 4'!H34,'rodada 5'!H34,'rodada 6'!H34,'rodada 7'!H34,'rodada 8'!H34,'rodada 9'!H34,'rodada 10'!H34,'rodada 11'!H34,'rodada 12'!H34,'rodada 13'!H33,'rodada 14'!H34,'rodada 15'!H34, 'rodada 16'!H34,'rodada 17'!H34,'rodada 18'!H34,'rodada 19'!H34,'rodada 20'!H34,)</f>
        <v>247</v>
      </c>
      <c r="I3" s="5">
        <f>SUM('rodada 1'!I34,'rodada 2'!I34,'rodada 3'!I34,'rodada 4'!I34,'rodada 5'!I34,'rodada 6'!I34,'rodada 7'!I34,'rodada 8'!I34,'rodada 9'!I34,'rodada 10'!I34,'rodada 11'!I34,'rodada 12'!I34,'rodada 13'!I33,'rodada 14'!I34,'rodada 15'!I34, 'rodada 16'!I34,'rodada 17'!I34,'rodada 18'!I34,'rodada 19'!I34,'rodada 20'!I34,)</f>
        <v>1</v>
      </c>
      <c r="J3" s="5">
        <f>SUM('rodada 1'!J34,'rodada 2'!J34,'rodada 3'!J34,'rodada 4'!J34,'rodada 5'!J34,'rodada 6'!J34,'rodada 7'!J34,'rodada 8'!J34,'rodada 9'!J34,'rodada 10'!J34,'rodada 11'!J34,'rodada 12'!J34,'rodada 13'!J33,'rodada 14'!J34,'rodada 15'!J34, 'rodada 16'!J34,'rodada 17'!J34,'rodada 18'!J34,'rodada 19'!J34,'rodada 20'!J34,)</f>
        <v>193</v>
      </c>
      <c r="K3" s="5">
        <f>SUM('rodada 1'!K34,'rodada 2'!K34,'rodada 3'!K34,'rodada 4'!K34,'rodada 5'!K34,'rodada 6'!K34,'rodada 7'!K34,'rodada 8'!K34,'rodada 9'!K34,'rodada 10'!K34,'rodada 11'!K34,'rodada 12'!K34,'rodada 13'!K33,'rodada 14'!K34,'rodada 15'!K34, 'rodada 16'!K34,'rodada 17'!K34,'rodada 18'!K34,'rodada 19'!K34,'rodada 20'!K34,)</f>
        <v>706</v>
      </c>
      <c r="L3" s="5">
        <f>SUM('rodada 1'!L34,'rodada 2'!L34,'rodada 3'!L34,'rodada 4'!L34,'rodada 5'!L34,'rodada 6'!L34,'rodada 7'!L34,'rodada 8'!L34,'rodada 9'!L34,'rodada 10'!L34,'rodada 11'!L34,'rodada 12'!L34,'rodada 13'!L33,'rodada 14'!L34,'rodada 15'!L34, 'rodada 16'!L34,'rodada 17'!L34,'rodada 18'!L34,'rodada 19'!L34,'rodada 20'!L34,)</f>
        <v>117</v>
      </c>
      <c r="M3" s="5">
        <f>SUM('rodada 1'!M34,'rodada 2'!M34,'rodada 3'!M34,'rodada 4'!M34,'rodada 5'!M34,'rodada 6'!M34,'rodada 7'!M34,'rodada 8'!M34,'rodada 9'!M34,'rodada 10'!M34,'rodada 11'!M34,'rodada 12'!M34,'rodada 13'!M33,'rodada 14'!M34,'rodada 15'!M34, 'rodada 16'!M34,'rodada 17'!M34,'rodada 18'!M34,'rodada 19'!M34,'rodada 20'!M34,)</f>
        <v>293</v>
      </c>
      <c r="N3" s="5">
        <f>SUM('rodada 1'!N34,'rodada 2'!N34,'rodada 3'!N34,'rodada 4'!N34,'rodada 5'!N34,'rodada 6'!N34,'rodada 7'!N34,'rodada 8'!N34,'rodada 9'!N34,'rodada 10'!N34,'rodada 11'!N34,'rodada 12'!N34,'rodada 13'!N33,'rodada 14'!N34,'rodada 15'!N34, 'rodada 16'!N34,'rodada 17'!N34,'rodada 18'!N34,'rodada 19'!N34,'rodada 20'!N34,)</f>
        <v>331</v>
      </c>
      <c r="O3" s="5">
        <f>SUM('rodada 1'!O34,'rodada 2'!O34,'rodada 3'!O34,'rodada 4'!O34,'rodada 5'!O34,'rodada 6'!O34,'rodada 7'!O34,'rodada 8'!O34,'rodada 9'!O34,'rodada 10'!O34,'rodada 11'!O34,'rodada 12'!O34,'rodada 13'!O33,'rodada 14'!O34,'rodada 15'!O34, 'rodada 16'!O34,'rodada 17'!O34,'rodada 18'!O34,'rodada 19'!O34,'rodada 20'!O34,)</f>
        <v>1</v>
      </c>
      <c r="P3" s="5">
        <f>SUM('rodada 1'!P34,'rodada 2'!P34,'rodada 3'!P34,'rodada 4'!P34,'rodada 5'!P34,'rodada 6'!P34,'rodada 7'!P34,'rodada 8'!P34,'rodada 9'!P34,'rodada 10'!P34,'rodada 11'!P34,'rodada 12'!P34,'rodada 13'!P33,'rodada 14'!P34,'rodada 15'!P34, 'rodada 16'!P34,'rodada 17'!P34,'rodada 18'!P34,'rodada 19'!P34,'rodada 20'!P34,)</f>
        <v>228</v>
      </c>
      <c r="Q3" s="5">
        <f>SUM('rodada 1'!Q34,'rodada 2'!Q34,'rodada 3'!Q34,'rodada 4'!Q34,'rodada 5'!Q34,'rodada 6'!Q34,'rodada 7'!Q34,'rodada 8'!Q34,'rodada 9'!Q34,'rodada 10'!Q34,'rodada 11'!Q34,'rodada 12'!Q34,'rodada 13'!Q33,'rodada 14'!Q34,'rodada 15'!Q34, 'rodada 16'!Q34,'rodada 17'!Q34,'rodada 18'!Q34,'rodada 19'!Q34,'rodada 20'!Q34,)</f>
        <v>57</v>
      </c>
      <c r="R3" s="5">
        <f>SUM('rodada 1'!R34,'rodada 2'!R34,'rodada 3'!R34,'rodada 4'!R34,'rodada 5'!R34,'rodada 6'!R34,'rodada 7'!R34,'rodada 8'!R34,'rodada 9'!R34,'rodada 10'!R34,'rodada 11'!R34,'rodada 12'!R34,'rodada 13'!R33,'rodada 14'!R34,'rodada 15'!R34, 'rodada 16'!R34,'rodada 17'!R34,'rodada 18'!R34,'rodada 19'!R34,'rodada 20'!R34,)</f>
        <v>87</v>
      </c>
      <c r="S3" s="5">
        <f>SUM('rodada 1'!S34,'rodada 2'!S34,'rodada 3'!S34,'rodada 4'!S34,'rodada 5'!S34,'rodada 6'!S34,'rodada 7'!S34,'rodada 8'!S34,'rodada 9'!S34,'rodada 10'!S34,'rodada 11'!S34,'rodada 12'!S34,'rodada 13'!S33,'rodada 14'!S34,'rodada 15'!S34, 'rodada 16'!S34,'rodada 17'!S34,'rodada 18'!S34,'rodada 19'!S34,'rodada 20'!S34,)</f>
        <v>542</v>
      </c>
    </row>
    <row r="4" spans="1:19" x14ac:dyDescent="0.25">
      <c r="A4" s="1" t="s">
        <v>630</v>
      </c>
      <c r="B4" s="4">
        <f>B3 / (B3 + C3)</f>
        <v>0.99342105263157898</v>
      </c>
      <c r="C4" s="4"/>
      <c r="D4" s="4"/>
      <c r="E4" s="4">
        <f t="shared" ref="E4" si="0">E3 / (E3 + F3)</f>
        <v>0.98452012383900933</v>
      </c>
      <c r="F4" s="4"/>
      <c r="G4" s="4"/>
      <c r="H4" s="4">
        <f t="shared" ref="H4" si="1">H3 / (H3 + I3)</f>
        <v>0.99596774193548387</v>
      </c>
      <c r="I4" s="4"/>
      <c r="J4" s="4"/>
      <c r="K4" s="4">
        <f t="shared" ref="K4" si="2">K3 / (K3 + L3)</f>
        <v>0.85783718104495743</v>
      </c>
      <c r="L4" s="4"/>
      <c r="M4" s="4"/>
      <c r="N4" s="4">
        <f t="shared" ref="N4" si="3">N3 / (N3 + O3)</f>
        <v>0.99698795180722888</v>
      </c>
      <c r="O4" s="4"/>
      <c r="P4" s="4"/>
      <c r="Q4" s="4">
        <f t="shared" ref="Q4" si="4">Q3 / (Q3 + R3)</f>
        <v>0.39583333333333331</v>
      </c>
      <c r="R4" s="4"/>
      <c r="S4" s="4"/>
    </row>
    <row r="5" spans="1:19" x14ac:dyDescent="0.25">
      <c r="A5" s="1" t="s">
        <v>631</v>
      </c>
      <c r="B5" s="4">
        <f xml:space="preserve"> B3 / (B3 + D3)</f>
        <v>0.25166666666666665</v>
      </c>
      <c r="C5" s="4"/>
      <c r="D5" s="4"/>
      <c r="E5" s="4">
        <f t="shared" ref="E5" si="5" xml:space="preserve"> E3 / (E3 + G3)</f>
        <v>0.19875000000000001</v>
      </c>
      <c r="F5" s="4"/>
      <c r="G5" s="4"/>
      <c r="H5" s="4">
        <f t="shared" ref="H5" si="6" xml:space="preserve"> H3 / (H3 + J3)</f>
        <v>0.5613636363636364</v>
      </c>
      <c r="I5" s="4"/>
      <c r="J5" s="4"/>
      <c r="K5" s="4">
        <f t="shared" ref="K5" si="7" xml:space="preserve"> K3 / (K3 + M3)</f>
        <v>0.70670670670670666</v>
      </c>
      <c r="L5" s="4"/>
      <c r="M5" s="4"/>
      <c r="N5" s="4">
        <f t="shared" ref="N5" si="8" xml:space="preserve"> N3 / (N3 + P3)</f>
        <v>0.59212880143112701</v>
      </c>
      <c r="O5" s="4"/>
      <c r="P5" s="4"/>
      <c r="Q5" s="4">
        <f t="shared" ref="Q5" si="9" xml:space="preserve"> Q3 / (Q3 + S3)</f>
        <v>9.515859766277128E-2</v>
      </c>
      <c r="R5" s="4"/>
      <c r="S5" s="4"/>
    </row>
  </sheetData>
  <mergeCells count="18">
    <mergeCell ref="B5:D5"/>
    <mergeCell ref="E5:G5"/>
    <mergeCell ref="H5:J5"/>
    <mergeCell ref="K5:M5"/>
    <mergeCell ref="N5:P5"/>
    <mergeCell ref="Q5:S5"/>
    <mergeCell ref="B4:D4"/>
    <mergeCell ref="E4:G4"/>
    <mergeCell ref="H4:J4"/>
    <mergeCell ref="K4:M4"/>
    <mergeCell ref="N4:P4"/>
    <mergeCell ref="Q4:S4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6B4B87-E769-439C-94D3-EBF278718D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rodada 1</vt:lpstr>
      <vt:lpstr>rodada 2</vt:lpstr>
      <vt:lpstr>rodada 3</vt:lpstr>
      <vt:lpstr>rodada 4</vt:lpstr>
      <vt:lpstr>rodada 5</vt:lpstr>
      <vt:lpstr>rodada 6</vt:lpstr>
      <vt:lpstr>rodada 7</vt:lpstr>
      <vt:lpstr>rodada 8</vt:lpstr>
      <vt:lpstr>rodada 9</vt:lpstr>
      <vt:lpstr>rodada 10</vt:lpstr>
      <vt:lpstr>rodada 11</vt:lpstr>
      <vt:lpstr>rodada 12</vt:lpstr>
      <vt:lpstr>rodada 13</vt:lpstr>
      <vt:lpstr>rodada 14</vt:lpstr>
      <vt:lpstr>rodada 15</vt:lpstr>
      <vt:lpstr>rodada 16</vt:lpstr>
      <vt:lpstr>rodada 17</vt:lpstr>
      <vt:lpstr>rodada 18</vt:lpstr>
      <vt:lpstr>rodada 19</vt:lpstr>
      <vt:lpstr>rodada 20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Pires Savassa</dc:creator>
  <cp:lastModifiedBy>Eduardo Luiz de Souza Sobrinho</cp:lastModifiedBy>
  <dcterms:created xsi:type="dcterms:W3CDTF">2024-10-19T19:32:59Z</dcterms:created>
  <dcterms:modified xsi:type="dcterms:W3CDTF">2024-11-03T03:34:26Z</dcterms:modified>
</cp:coreProperties>
</file>