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Custom vision\Max chaos\"/>
    </mc:Choice>
  </mc:AlternateContent>
  <xr:revisionPtr revIDLastSave="0" documentId="13_ncr:1_{718B7C21-1403-4EEC-82A2-81685631527F}" xr6:coauthVersionLast="47" xr6:coauthVersionMax="47" xr10:uidLastSave="{00000000-0000-0000-0000-000000000000}"/>
  <bookViews>
    <workbookView xWindow="-120" yWindow="-120" windowWidth="29040" windowHeight="15720" activeTab="5" xr2:uid="{488473F3-2F78-4DE6-BFA3-32B6303924AC}"/>
  </bookViews>
  <sheets>
    <sheet name="rodada 1" sheetId="1" r:id="rId1"/>
    <sheet name="rodada 2" sheetId="3" r:id="rId2"/>
    <sheet name="rodada 3" sheetId="6" r:id="rId3"/>
    <sheet name="rodada 4" sheetId="7" r:id="rId4"/>
    <sheet name="rodada 5" sheetId="9" r:id="rId5"/>
    <sheet name="resumo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D3" i="10"/>
  <c r="E3" i="10"/>
  <c r="F3" i="10"/>
  <c r="E4" i="10" s="1"/>
  <c r="G3" i="10"/>
  <c r="E5" i="10" s="1"/>
  <c r="H3" i="10"/>
  <c r="I3" i="10"/>
  <c r="J3" i="10"/>
  <c r="K3" i="10"/>
  <c r="L3" i="10"/>
  <c r="M3" i="10"/>
  <c r="N3" i="10"/>
  <c r="N4" i="10" s="1"/>
  <c r="O3" i="10"/>
  <c r="P3" i="10"/>
  <c r="N5" i="10" s="1"/>
  <c r="Q3" i="10"/>
  <c r="Q5" i="10" s="1"/>
  <c r="R3" i="10"/>
  <c r="S3" i="10"/>
  <c r="B3" i="10"/>
  <c r="B5" i="10" s="1"/>
  <c r="K4" i="10"/>
  <c r="H4" i="10"/>
  <c r="Q4" i="10" l="1"/>
  <c r="H5" i="10"/>
  <c r="K5" i="10"/>
  <c r="B4" i="10"/>
  <c r="Q35" i="9"/>
  <c r="N35" i="9"/>
  <c r="K35" i="9"/>
  <c r="H35" i="9"/>
  <c r="E35" i="9"/>
  <c r="B35" i="9"/>
  <c r="Q34" i="9"/>
  <c r="N34" i="9"/>
  <c r="K34" i="9"/>
  <c r="H34" i="9"/>
  <c r="E34" i="9"/>
  <c r="B34" i="9"/>
  <c r="Q32" i="7"/>
  <c r="N32" i="7"/>
  <c r="K32" i="7"/>
  <c r="H32" i="7"/>
  <c r="E32" i="7"/>
  <c r="B32" i="7"/>
  <c r="Q31" i="7"/>
  <c r="N31" i="7"/>
  <c r="K31" i="7"/>
  <c r="H31" i="7"/>
  <c r="E31" i="7"/>
  <c r="B31" i="7"/>
  <c r="Q46" i="6"/>
  <c r="N46" i="6"/>
  <c r="K46" i="6"/>
  <c r="H46" i="6"/>
  <c r="E46" i="6"/>
  <c r="B46" i="6"/>
  <c r="Q45" i="6"/>
  <c r="N45" i="6"/>
  <c r="K45" i="6"/>
  <c r="H45" i="6"/>
  <c r="E45" i="6"/>
  <c r="B45" i="6"/>
  <c r="Q37" i="3"/>
  <c r="N37" i="3"/>
  <c r="K37" i="3"/>
  <c r="H37" i="3"/>
  <c r="E37" i="3"/>
  <c r="B37" i="3"/>
  <c r="Q36" i="3"/>
  <c r="N36" i="3"/>
  <c r="K36" i="3"/>
  <c r="H36" i="3"/>
  <c r="E36" i="3"/>
  <c r="B36" i="3"/>
  <c r="E39" i="1"/>
  <c r="H39" i="1"/>
  <c r="K39" i="1"/>
  <c r="N39" i="1"/>
  <c r="Q39" i="1"/>
  <c r="B39" i="1"/>
  <c r="E38" i="1"/>
  <c r="H38" i="1"/>
  <c r="K38" i="1"/>
  <c r="N38" i="1"/>
  <c r="Q38" i="1"/>
  <c r="B38" i="1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B33" i="9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B30" i="7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B44" i="6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B35" i="3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B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05A31-F3C5-40B3-BD65-C9A6DBA8BA5B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43787F4D-BE70-4CBE-B9DE-DBD4C90D1D41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3" xr16:uid="{AFD55125-09F5-46DE-B08C-0444DB356B34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4" xr16:uid="{16335C27-7807-4274-9434-8BB1A3DCB8BC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5" xr16:uid="{B1575225-22B3-461A-8B0A-07C013935A5D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</connections>
</file>

<file path=xl/sharedStrings.xml><?xml version="1.0" encoding="utf-8"?>
<sst xmlns="http://schemas.openxmlformats.org/spreadsheetml/2006/main" count="330" uniqueCount="177">
  <si>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</si>
  <si>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</si>
  <si>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</si>
  <si>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</si>
  <si>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</si>
  <si>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</si>
  <si>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</si>
  <si>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</si>
  <si>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</si>
  <si>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</si>
  <si>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Max_Chaos_Rodada_1_Imagem 10</t>
  </si>
  <si>
    <t>Max_Chaos_Rodada_1_Imagem 11</t>
  </si>
  <si>
    <t>Max_Chaos_Rodada_1_Imagem 12</t>
  </si>
  <si>
    <t>Max_Chaos_Rodada_1_Imagem 13</t>
  </si>
  <si>
    <t>Max_Chaos_Rodada_1_Imagem 14</t>
  </si>
  <si>
    <t>Max_Chaos_Rodada_1_Imagem 15</t>
  </si>
  <si>
    <t>Max_Chaos_Rodada_1_Imagem 16</t>
  </si>
  <si>
    <t>Max_Chaos_Rodada_1_Imagem 17</t>
  </si>
  <si>
    <t>Max_Chaos_Rodada_1_Imagem 18</t>
  </si>
  <si>
    <t>Max_Chaos_Rodada_1_Imagem 19</t>
  </si>
  <si>
    <t>Max_Chaos_Rodada_1_Imagem 20</t>
  </si>
  <si>
    <t>Max_Chaos_Rodada_1_Imagem 21</t>
  </si>
  <si>
    <t>Max_Chaos_Rodada_1_Imagem 22</t>
  </si>
  <si>
    <t>Max_Chaos_Rodada_1_Imagem 23</t>
  </si>
  <si>
    <t>Max_Chaos_Rodada_1_Imagem 24</t>
  </si>
  <si>
    <t>Max_Chaos_Rodada_1_Imagem 25</t>
  </si>
  <si>
    <t>Max_Chaos_Rodada_1_Imagem 26</t>
  </si>
  <si>
    <t>Max_Chaos_Rodada_1_Imagem 27</t>
  </si>
  <si>
    <t>Max_Chaos_Rodada_1_Imagem 28</t>
  </si>
  <si>
    <t>Max_Chaos_Rodada_1_Imagem 29</t>
  </si>
  <si>
    <t>Max_Chaos_Rodada_1_Imagem 30</t>
  </si>
  <si>
    <t>Max_Chaos_Rodada_1_Imagem 31</t>
  </si>
  <si>
    <t>Max_Chaos_Rodada_1_Imagem 32</t>
  </si>
  <si>
    <t>Max_Chaos_Rodada_1_Imagem 33</t>
  </si>
  <si>
    <t>Max_Chaos_Rodada_1_Imagem 34</t>
  </si>
  <si>
    <t>Max_Chaos_Rodada_1_Imagem 1</t>
  </si>
  <si>
    <t>Max_Chaos_Rodada_1_Imagem 2</t>
  </si>
  <si>
    <t>Max_Chaos_Rodada_1_Imagem 3</t>
  </si>
  <si>
    <t>Max_Chaos_Rodada_1_Imagem 4</t>
  </si>
  <si>
    <t>Max_Chaos_Rodada_1_Imagem 5</t>
  </si>
  <si>
    <t>Max_Chaos_Rodada_1_Imagem 6</t>
  </si>
  <si>
    <t>Max_Chaos_Rodada_1_Imagem 7</t>
  </si>
  <si>
    <t>Max_Chaos_Rodada_1_Imagem 8</t>
  </si>
  <si>
    <t>Max_Chaos_Rodada_1_Imagem 9</t>
  </si>
  <si>
    <t>Max_Chaos_Rodada_2_Imagem 1</t>
  </si>
  <si>
    <t>Max_Chaos_Rodada_2_Imagem 10</t>
  </si>
  <si>
    <t>Max_Chaos_Rodada_2_Imagem 11</t>
  </si>
  <si>
    <t>Max_Chaos_Rodada_2_Imagem 12</t>
  </si>
  <si>
    <t>Max_Chaos_Rodada_2_Imagem 13</t>
  </si>
  <si>
    <t>Max_Chaos_Rodada_2_Imagem 14</t>
  </si>
  <si>
    <t>Max_Chaos_Rodada_2_Imagem 15</t>
  </si>
  <si>
    <t>Max_Chaos_Rodada_2_Imagem 16</t>
  </si>
  <si>
    <t>Max_Chaos_Rodada_2_Imagem 17</t>
  </si>
  <si>
    <t>Max_Chaos_Rodada_2_Imagem 18</t>
  </si>
  <si>
    <t>Max_Chaos_Rodada_2_Imagem 19</t>
  </si>
  <si>
    <t>Max_Chaos_Rodada_2_Imagem 2</t>
  </si>
  <si>
    <t>Max_Chaos_Rodada_2_Imagem 20</t>
  </si>
  <si>
    <t>Max_Chaos_Rodada_2_Imagem 21</t>
  </si>
  <si>
    <t>Max_Chaos_Rodada_2_Imagem 22</t>
  </si>
  <si>
    <t>Max_Chaos_Rodada_2_Imagem 23</t>
  </si>
  <si>
    <t>Max_Chaos_Rodada_2_Imagem 24</t>
  </si>
  <si>
    <t>Max_Chaos_Rodada_2_Imagem 25</t>
  </si>
  <si>
    <t>Max_Chaos_Rodada_2_Imagem 26</t>
  </si>
  <si>
    <t>Max_Chaos_Rodada_2_Imagem 27</t>
  </si>
  <si>
    <t>Max_Chaos_Rodada_2_Imagem 28</t>
  </si>
  <si>
    <t>Max_Chaos_Rodada_2_Imagem 29</t>
  </si>
  <si>
    <t>Max_Chaos_Rodada_2_Imagem 3</t>
  </si>
  <si>
    <t>Max_Chaos_Rodada_2_Imagem 30</t>
  </si>
  <si>
    <t>Max_Chaos_Rodada_2_Imagem 31</t>
  </si>
  <si>
    <t>Max_Chaos_Rodada_2_Imagem 32</t>
  </si>
  <si>
    <t>Max_Chaos_Rodada_2_Imagem 4</t>
  </si>
  <si>
    <t>Max_Chaos_Rodada_2_Imagem 5</t>
  </si>
  <si>
    <t>Max_Chaos_Rodada_2_Imagem 6</t>
  </si>
  <si>
    <t>Max_Chaos_Rodada_2_Imagem 7</t>
  </si>
  <si>
    <t>Max_Chaos_Rodada_2_Imagem 8</t>
  </si>
  <si>
    <t>Max_Chaos_Rodada_2_Imagem 9</t>
  </si>
  <si>
    <t>Max_Chaos_Rodada_3_Imagem 1</t>
  </si>
  <si>
    <t>Max_Chaos_Rodada_3_Imagem 10</t>
  </si>
  <si>
    <t>Max_Chaos_Rodada_3_Imagem 11</t>
  </si>
  <si>
    <t>Max_Chaos_Rodada_3_Imagem 12</t>
  </si>
  <si>
    <t>Max_Chaos_Rodada_3_Imagem 13</t>
  </si>
  <si>
    <t>Max_Chaos_Rodada_3_Imagem 14</t>
  </si>
  <si>
    <t>Max_Chaos_Rodada_3_Imagem 15</t>
  </si>
  <si>
    <t>Max_Chaos_Rodada_3_Imagem 16</t>
  </si>
  <si>
    <t>Max_Chaos_Rodada_3_Imagem 17</t>
  </si>
  <si>
    <t>Max_Chaos_Rodada_3_Imagem 18</t>
  </si>
  <si>
    <t>Max_Chaos_Rodada_3_Imagem 19</t>
  </si>
  <si>
    <t>Max_Chaos_Rodada_3_Imagem 2</t>
  </si>
  <si>
    <t>Max_Chaos_Rodada_3_Imagem 20</t>
  </si>
  <si>
    <t>Max_Chaos_Rodada_3_Imagem 21</t>
  </si>
  <si>
    <t>Max_Chaos_Rodada_3_Imagem 22</t>
  </si>
  <si>
    <t>Max_Chaos_Rodada_3_Imagem 23</t>
  </si>
  <si>
    <t>Max_Chaos_Rodada_3_Imagem 24</t>
  </si>
  <si>
    <t>Max_Chaos_Rodada_3_Imagem 25</t>
  </si>
  <si>
    <t>Max_Chaos_Rodada_3_Imagem 26</t>
  </si>
  <si>
    <t>Max_Chaos_Rodada_3_Imagem 27</t>
  </si>
  <si>
    <t>Max_Chaos_Rodada_3_Imagem 28</t>
  </si>
  <si>
    <t>Max_Chaos_Rodada_3_Imagem 29</t>
  </si>
  <si>
    <t>Max_Chaos_Rodada_3_Imagem 3</t>
  </si>
  <si>
    <t>Max_Chaos_Rodada_3_Imagem 30</t>
  </si>
  <si>
    <t>Max_Chaos_Rodada_3_Imagem 31</t>
  </si>
  <si>
    <t>Max_Chaos_Rodada_3_Imagem 32</t>
  </si>
  <si>
    <t>Max_Chaos_Rodada_3_Imagem 33</t>
  </si>
  <si>
    <t>Max_Chaos_Rodada_3_Imagem 34</t>
  </si>
  <si>
    <t>Max_Chaos_Rodada_3_Imagem 35</t>
  </si>
  <si>
    <t>Max_Chaos_Rodada_3_Imagem 36</t>
  </si>
  <si>
    <t>Max_Chaos_Rodada_3_Imagem 37</t>
  </si>
  <si>
    <t>Max_Chaos_Rodada_3_Imagem 38</t>
  </si>
  <si>
    <t>Max_Chaos_Rodada_3_Imagem 39</t>
  </si>
  <si>
    <t>Max_Chaos_Rodada_3_Imagem 4</t>
  </si>
  <si>
    <t>Max_Chaos_Rodada_3_Imagem 40</t>
  </si>
  <si>
    <t>Max_Chaos_Rodada_3_Imagem 41</t>
  </si>
  <si>
    <t>Max_Chaos_Rodada_3_Imagem 5</t>
  </si>
  <si>
    <t>Max_Chaos_Rodada_3_Imagem 6</t>
  </si>
  <si>
    <t>Max_Chaos_Rodada_3_Imagem 7</t>
  </si>
  <si>
    <t>Max_Chaos_Rodada_3_Imagem 8</t>
  </si>
  <si>
    <t>Max_Chaos_Rodada_3_Imagem 9</t>
  </si>
  <si>
    <t>Max_Chaos_Rodada_4_Imagem 1</t>
  </si>
  <si>
    <t>Max_Chaos_Rodada_4_Imagem 10</t>
  </si>
  <si>
    <t>Max_Chaos_Rodada_4_Imagem 11</t>
  </si>
  <si>
    <t>Max_Chaos_Rodada_4_Imagem 12</t>
  </si>
  <si>
    <t>Max_Chaos_Rodada_4_Imagem 13</t>
  </si>
  <si>
    <t>Max_Chaos_Rodada_4_Imagem 14</t>
  </si>
  <si>
    <t>Max_Chaos_Rodada_4_Imagem 15</t>
  </si>
  <si>
    <t>Max_Chaos_Rodada_4_Imagem 16</t>
  </si>
  <si>
    <t>Max_Chaos_Rodada_4_Imagem 17</t>
  </si>
  <si>
    <t>Max_Chaos_Rodada_4_Imagem 18</t>
  </si>
  <si>
    <t>Max_Chaos_Rodada_4_Imagem 19</t>
  </si>
  <si>
    <t>Max_Chaos_Rodada_4_Imagem 2</t>
  </si>
  <si>
    <t>Max_Chaos_Rodada_4_Imagem 20</t>
  </si>
  <si>
    <t>Max_Chaos_Rodada_4_Imagem 21</t>
  </si>
  <si>
    <t>Max_Chaos_Rodada_4_Imagem 22</t>
  </si>
  <si>
    <t>Max_Chaos_Rodada_4_Imagem 23</t>
  </si>
  <si>
    <t>Max_Chaos_Rodada_4_Imagem 24</t>
  </si>
  <si>
    <t>Max_Chaos_Rodada_4_Imagem 25</t>
  </si>
  <si>
    <t>Max_Chaos_Rodada_4_Imagem 26</t>
  </si>
  <si>
    <t>Max_Chaos_Rodada_4_Imagem 27</t>
  </si>
  <si>
    <t>Max_Chaos_Rodada_4_Imagem 3</t>
  </si>
  <si>
    <t>Max_Chaos_Rodada_4_Imagem 4</t>
  </si>
  <si>
    <t>Max_Chaos_Rodada_4_Imagem 5</t>
  </si>
  <si>
    <t>Max_Chaos_Rodada_4_Imagem 6</t>
  </si>
  <si>
    <t>Max_Chaos_Rodada_4_Imagem 7</t>
  </si>
  <si>
    <t>Max_Chaos_Rodada_4_Imagem 8</t>
  </si>
  <si>
    <t>Max_Chaos_Rodada_4_Imagem 9</t>
  </si>
  <si>
    <t>Max_Chaos_Rodada_5_Imagem 1</t>
  </si>
  <si>
    <t>Max_Chaos_Rodada_5_Imagem 10</t>
  </si>
  <si>
    <t>Max_Chaos_Rodada_5_Imagem 11</t>
  </si>
  <si>
    <t>Max_Chaos_Rodada_5_Imagem 12</t>
  </si>
  <si>
    <t>Max_Chaos_Rodada_5_Imagem 13</t>
  </si>
  <si>
    <t>Max_Chaos_Rodada_5_Imagem 14</t>
  </si>
  <si>
    <t>Max_Chaos_Rodada_5_Imagem 15</t>
  </si>
  <si>
    <t>Max_Chaos_Rodada_5_Imagem 16</t>
  </si>
  <si>
    <t>Max_Chaos_Rodada_5_Imagem 17</t>
  </si>
  <si>
    <t>Max_Chaos_Rodada_5_Imagem 18</t>
  </si>
  <si>
    <t>Max_Chaos_Rodada_5_Imagem 19</t>
  </si>
  <si>
    <t>Max_Chaos_Rodada_5_Imagem 2</t>
  </si>
  <si>
    <t>Max_Chaos_Rodada_5_Imagem 20</t>
  </si>
  <si>
    <t>Max_Chaos_Rodada_5_Imagem 21</t>
  </si>
  <si>
    <t>Max_Chaos_Rodada_5_Imagem 22</t>
  </si>
  <si>
    <t>Max_Chaos_Rodada_5_Imagem 23</t>
  </si>
  <si>
    <t>Max_Chaos_Rodada_5_Imagem 24</t>
  </si>
  <si>
    <t>Max_Chaos_Rodada_5_Imagem 25</t>
  </si>
  <si>
    <t>Max_Chaos_Rodada_5_Imagem 26</t>
  </si>
  <si>
    <t>Max_Chaos_Rodada_5_Imagem 27</t>
  </si>
  <si>
    <t>Max_Chaos_Rodada_5_Imagem 28</t>
  </si>
  <si>
    <t>Max_Chaos_Rodada_5_Imagem 29</t>
  </si>
  <si>
    <t>Max_Chaos_Rodada_5_Imagem 3</t>
  </si>
  <si>
    <t>Max_Chaos_Rodada_5_Imagem 30</t>
  </si>
  <si>
    <t>Max_Chaos_Rodada_5_Imagem 4</t>
  </si>
  <si>
    <t>Max_Chaos_Rodada_5_Imagem 5</t>
  </si>
  <si>
    <t>Max_Chaos_Rodada_5_Imagem 6</t>
  </si>
  <si>
    <t>Max_Chaos_Rodada_5_Imagem 7</t>
  </si>
  <si>
    <t>Max_Chaos_Rodada_5_Imagem 8</t>
  </si>
  <si>
    <t>Max_Chaos_Rodada_5_Imagem 9</t>
  </si>
  <si>
    <t>Total:</t>
  </si>
  <si>
    <t>Precisão: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</si>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</sst>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0" fontId="0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9"/>
  <sheetViews>
    <sheetView topLeftCell="A7" workbookViewId="0">
      <selection activeCell="E41" sqref="E41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35</v>
      </c>
      <c r="B3">
        <v>0</v>
      </c>
      <c r="C3">
        <v>2</v>
      </c>
      <c r="D3">
        <v>2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10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11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12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13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18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19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36</v>
      </c>
      <c r="B14">
        <v>0</v>
      </c>
      <c r="C14">
        <v>2</v>
      </c>
      <c r="D14">
        <v>2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20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21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22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23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24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25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26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27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28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29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37</v>
      </c>
      <c r="B25">
        <v>0</v>
      </c>
      <c r="C25">
        <v>2</v>
      </c>
      <c r="D25">
        <v>2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30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31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32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33</v>
      </c>
      <c r="B29">
        <v>2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34</v>
      </c>
      <c r="B30">
        <v>2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38</v>
      </c>
      <c r="B31">
        <v>0</v>
      </c>
      <c r="C31">
        <v>2</v>
      </c>
      <c r="D31">
        <v>2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39</v>
      </c>
      <c r="B32">
        <v>1</v>
      </c>
      <c r="C32">
        <v>2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40</v>
      </c>
      <c r="B33">
        <v>0</v>
      </c>
      <c r="C33">
        <v>2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t="s">
        <v>41</v>
      </c>
      <c r="B34">
        <v>0</v>
      </c>
      <c r="C34">
        <v>2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42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43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 t="s">
        <v>174</v>
      </c>
      <c r="B37" s="1">
        <f>SUM(B3:B36)</f>
        <v>28</v>
      </c>
      <c r="C37" s="1">
        <f t="shared" ref="C37:S37" si="0">SUM(C3:C36)</f>
        <v>18</v>
      </c>
      <c r="D37" s="1">
        <f t="shared" si="0"/>
        <v>27</v>
      </c>
      <c r="E37" s="1">
        <f t="shared" si="0"/>
        <v>1</v>
      </c>
      <c r="F37" s="1">
        <f t="shared" si="0"/>
        <v>2</v>
      </c>
      <c r="G37" s="1">
        <f t="shared" si="0"/>
        <v>12</v>
      </c>
      <c r="H37" s="1">
        <f t="shared" si="0"/>
        <v>14</v>
      </c>
      <c r="I37" s="1">
        <f t="shared" si="0"/>
        <v>0</v>
      </c>
      <c r="J37" s="1">
        <f t="shared" si="0"/>
        <v>4</v>
      </c>
      <c r="K37" s="1">
        <f t="shared" si="0"/>
        <v>24</v>
      </c>
      <c r="L37" s="1">
        <f t="shared" si="0"/>
        <v>5</v>
      </c>
      <c r="M37" s="1">
        <f t="shared" si="0"/>
        <v>1</v>
      </c>
      <c r="N37" s="1">
        <f t="shared" si="0"/>
        <v>8</v>
      </c>
      <c r="O37" s="1">
        <f t="shared" si="0"/>
        <v>0</v>
      </c>
      <c r="P37" s="1">
        <f t="shared" si="0"/>
        <v>11</v>
      </c>
      <c r="Q37" s="1">
        <f t="shared" si="0"/>
        <v>15</v>
      </c>
      <c r="R37" s="1">
        <f t="shared" si="0"/>
        <v>0</v>
      </c>
      <c r="S37" s="1">
        <f t="shared" si="0"/>
        <v>6</v>
      </c>
    </row>
    <row r="38" spans="1:19" x14ac:dyDescent="0.25">
      <c r="A38" s="1" t="s">
        <v>175</v>
      </c>
      <c r="B38" s="3">
        <f>B37 / (B37 + C37)</f>
        <v>0.60869565217391308</v>
      </c>
      <c r="C38" s="3"/>
      <c r="D38" s="3"/>
      <c r="E38" s="3">
        <f t="shared" ref="E38" si="1">E37 / (E37 + F37)</f>
        <v>0.33333333333333331</v>
      </c>
      <c r="F38" s="3"/>
      <c r="G38" s="3"/>
      <c r="H38" s="3">
        <f t="shared" ref="H38" si="2">H37 / (H37 + I37)</f>
        <v>1</v>
      </c>
      <c r="I38" s="3"/>
      <c r="J38" s="3"/>
      <c r="K38" s="3">
        <f t="shared" ref="K38" si="3">K37 / (K37 + L37)</f>
        <v>0.82758620689655171</v>
      </c>
      <c r="L38" s="3"/>
      <c r="M38" s="3"/>
      <c r="N38" s="3">
        <f t="shared" ref="N38" si="4">N37 / (N37 + O37)</f>
        <v>1</v>
      </c>
      <c r="O38" s="3"/>
      <c r="P38" s="3"/>
      <c r="Q38" s="3">
        <f t="shared" ref="Q38" si="5">Q37 / (Q37 + R37)</f>
        <v>1</v>
      </c>
      <c r="R38" s="3"/>
      <c r="S38" s="3"/>
    </row>
    <row r="39" spans="1:19" x14ac:dyDescent="0.25">
      <c r="A39" s="1" t="s">
        <v>176</v>
      </c>
      <c r="B39" s="3">
        <f xml:space="preserve"> B37 / (B37 + D37)</f>
        <v>0.50909090909090904</v>
      </c>
      <c r="C39" s="3"/>
      <c r="D39" s="3"/>
      <c r="E39" s="3">
        <f t="shared" ref="E39" si="6" xml:space="preserve"> E37 / (E37 + G37)</f>
        <v>7.6923076923076927E-2</v>
      </c>
      <c r="F39" s="3"/>
      <c r="G39" s="3"/>
      <c r="H39" s="3">
        <f t="shared" ref="H39" si="7" xml:space="preserve"> H37 / (H37 + J37)</f>
        <v>0.77777777777777779</v>
      </c>
      <c r="I39" s="3"/>
      <c r="J39" s="3"/>
      <c r="K39" s="3">
        <f t="shared" ref="K39" si="8" xml:space="preserve"> K37 / (K37 + M37)</f>
        <v>0.96</v>
      </c>
      <c r="L39" s="3"/>
      <c r="M39" s="3"/>
      <c r="N39" s="3">
        <f t="shared" ref="N39" si="9" xml:space="preserve"> N37 / (N37 + P37)</f>
        <v>0.42105263157894735</v>
      </c>
      <c r="O39" s="3"/>
      <c r="P39" s="3"/>
      <c r="Q39" s="3">
        <f t="shared" ref="Q39" si="10" xml:space="preserve"> Q37 / (Q37 + S37)</f>
        <v>0.7142857142857143</v>
      </c>
      <c r="R39" s="3"/>
      <c r="S39" s="3"/>
    </row>
  </sheetData>
  <mergeCells count="18">
    <mergeCell ref="Q1:S1"/>
    <mergeCell ref="B38:D38"/>
    <mergeCell ref="E38:G38"/>
    <mergeCell ref="H38:J38"/>
    <mergeCell ref="K38:M38"/>
    <mergeCell ref="N38:P38"/>
    <mergeCell ref="Q38:S38"/>
    <mergeCell ref="B1:D1"/>
    <mergeCell ref="E1:G1"/>
    <mergeCell ref="H1:J1"/>
    <mergeCell ref="K1:M1"/>
    <mergeCell ref="N1:P1"/>
    <mergeCell ref="Q39:S39"/>
    <mergeCell ref="B39:D39"/>
    <mergeCell ref="E39:G39"/>
    <mergeCell ref="H39:J39"/>
    <mergeCell ref="K39:M39"/>
    <mergeCell ref="N39:P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746-37CC-48A0-9C5E-8AB516AA1996}">
  <dimension ref="A1:S37"/>
  <sheetViews>
    <sheetView topLeftCell="A7" workbookViewId="0">
      <selection activeCell="C40" sqref="C40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44</v>
      </c>
      <c r="B3">
        <v>1</v>
      </c>
      <c r="C3">
        <v>1</v>
      </c>
      <c r="D3">
        <v>1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46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47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51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 x14ac:dyDescent="0.25">
      <c r="A12" t="s">
        <v>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</row>
    <row r="13" spans="1:19" x14ac:dyDescent="0.25">
      <c r="A13" t="s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 x14ac:dyDescent="0.25">
      <c r="A14" t="s">
        <v>55</v>
      </c>
      <c r="B14">
        <v>0</v>
      </c>
      <c r="C14">
        <v>1</v>
      </c>
      <c r="D14">
        <v>2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 x14ac:dyDescent="0.25">
      <c r="A16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 x14ac:dyDescent="0.25">
      <c r="A17" t="s">
        <v>58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</row>
    <row r="18" spans="1:19" x14ac:dyDescent="0.25">
      <c r="A18" t="s">
        <v>59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</row>
    <row r="19" spans="1:19" x14ac:dyDescent="0.25">
      <c r="A19" t="s">
        <v>60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 x14ac:dyDescent="0.25">
      <c r="A20" t="s">
        <v>61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x14ac:dyDescent="0.25">
      <c r="A21" t="s">
        <v>62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</row>
    <row r="22" spans="1:19" x14ac:dyDescent="0.25">
      <c r="A22" t="s">
        <v>63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 x14ac:dyDescent="0.25">
      <c r="A23" t="s">
        <v>64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</row>
    <row r="24" spans="1:19" x14ac:dyDescent="0.25">
      <c r="A24" t="s">
        <v>65</v>
      </c>
      <c r="B24">
        <v>0</v>
      </c>
      <c r="C24">
        <v>1</v>
      </c>
      <c r="D24">
        <v>2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 x14ac:dyDescent="0.25">
      <c r="A25" t="s">
        <v>66</v>
      </c>
      <c r="B25">
        <v>0</v>
      </c>
      <c r="C25">
        <v>1</v>
      </c>
      <c r="D25">
        <v>2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67</v>
      </c>
      <c r="B26">
        <v>0</v>
      </c>
      <c r="C26">
        <v>1</v>
      </c>
      <c r="D26">
        <v>2</v>
      </c>
      <c r="E26">
        <v>0</v>
      </c>
      <c r="F26">
        <v>1</v>
      </c>
      <c r="G26">
        <v>2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 x14ac:dyDescent="0.25">
      <c r="A27" t="s">
        <v>68</v>
      </c>
      <c r="B27">
        <v>0</v>
      </c>
      <c r="C27">
        <v>1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</row>
    <row r="28" spans="1:19" x14ac:dyDescent="0.25">
      <c r="A28" t="s">
        <v>69</v>
      </c>
      <c r="B28">
        <v>0</v>
      </c>
      <c r="C28">
        <v>1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 x14ac:dyDescent="0.25">
      <c r="A29" t="s">
        <v>70</v>
      </c>
      <c r="B29">
        <v>0</v>
      </c>
      <c r="C29">
        <v>1</v>
      </c>
      <c r="D29">
        <v>2</v>
      </c>
      <c r="E29">
        <v>0</v>
      </c>
      <c r="F29">
        <v>0</v>
      </c>
      <c r="G29">
        <v>2</v>
      </c>
      <c r="H29">
        <v>1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</row>
    <row r="30" spans="1:19" x14ac:dyDescent="0.25">
      <c r="A30" t="s">
        <v>71</v>
      </c>
      <c r="B30">
        <v>1</v>
      </c>
      <c r="C30">
        <v>2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</row>
    <row r="31" spans="1:19" x14ac:dyDescent="0.25">
      <c r="A31" t="s">
        <v>72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</row>
    <row r="32" spans="1:19" x14ac:dyDescent="0.25">
      <c r="A32" t="s">
        <v>73</v>
      </c>
      <c r="B32">
        <v>0</v>
      </c>
      <c r="C32">
        <v>2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</row>
    <row r="33" spans="1:19" x14ac:dyDescent="0.25">
      <c r="A33" t="s">
        <v>74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</row>
    <row r="34" spans="1:19" x14ac:dyDescent="0.25">
      <c r="A34" t="s">
        <v>75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</row>
    <row r="35" spans="1:19" x14ac:dyDescent="0.25">
      <c r="A35" s="1" t="s">
        <v>174</v>
      </c>
      <c r="B35" s="1">
        <f>SUM(B3:B34)</f>
        <v>3</v>
      </c>
      <c r="C35" s="1">
        <f t="shared" ref="C35:S35" si="0">SUM(C3:C34)</f>
        <v>26</v>
      </c>
      <c r="D35" s="1">
        <f t="shared" si="0"/>
        <v>18</v>
      </c>
      <c r="E35" s="1">
        <f t="shared" si="0"/>
        <v>5</v>
      </c>
      <c r="F35" s="1">
        <f t="shared" si="0"/>
        <v>6</v>
      </c>
      <c r="G35" s="1">
        <f t="shared" si="0"/>
        <v>18</v>
      </c>
      <c r="H35" s="1">
        <f t="shared" si="0"/>
        <v>14</v>
      </c>
      <c r="I35" s="1">
        <f t="shared" si="0"/>
        <v>0</v>
      </c>
      <c r="J35" s="1">
        <f t="shared" si="0"/>
        <v>12</v>
      </c>
      <c r="K35" s="1">
        <f t="shared" si="0"/>
        <v>22</v>
      </c>
      <c r="L35" s="1">
        <f t="shared" si="0"/>
        <v>7</v>
      </c>
      <c r="M35" s="1">
        <f t="shared" si="0"/>
        <v>1</v>
      </c>
      <c r="N35" s="1">
        <f t="shared" si="0"/>
        <v>11</v>
      </c>
      <c r="O35" s="1">
        <f t="shared" si="0"/>
        <v>1</v>
      </c>
      <c r="P35" s="1">
        <f t="shared" si="0"/>
        <v>13</v>
      </c>
      <c r="Q35" s="1">
        <f t="shared" si="0"/>
        <v>3</v>
      </c>
      <c r="R35" s="1">
        <f t="shared" si="0"/>
        <v>16</v>
      </c>
      <c r="S35" s="1">
        <f t="shared" si="0"/>
        <v>3</v>
      </c>
    </row>
    <row r="36" spans="1:19" x14ac:dyDescent="0.25">
      <c r="A36" s="1" t="s">
        <v>175</v>
      </c>
      <c r="B36" s="3">
        <f>B35 / (B35 + C35)</f>
        <v>0.10344827586206896</v>
      </c>
      <c r="C36" s="3"/>
      <c r="D36" s="3"/>
      <c r="E36" s="3">
        <f t="shared" ref="E36" si="1">E35 / (E35 + F35)</f>
        <v>0.45454545454545453</v>
      </c>
      <c r="F36" s="3"/>
      <c r="G36" s="3"/>
      <c r="H36" s="3">
        <f t="shared" ref="H36" si="2">H35 / (H35 + I35)</f>
        <v>1</v>
      </c>
      <c r="I36" s="3"/>
      <c r="J36" s="3"/>
      <c r="K36" s="3">
        <f t="shared" ref="K36" si="3">K35 / (K35 + L35)</f>
        <v>0.75862068965517238</v>
      </c>
      <c r="L36" s="3"/>
      <c r="M36" s="3"/>
      <c r="N36" s="3">
        <f t="shared" ref="N36" si="4">N35 / (N35 + O35)</f>
        <v>0.91666666666666663</v>
      </c>
      <c r="O36" s="3"/>
      <c r="P36" s="3"/>
      <c r="Q36" s="3">
        <f t="shared" ref="Q36" si="5">Q35 / (Q35 + R35)</f>
        <v>0.15789473684210525</v>
      </c>
      <c r="R36" s="3"/>
      <c r="S36" s="3"/>
    </row>
    <row r="37" spans="1:19" x14ac:dyDescent="0.25">
      <c r="A37" s="1" t="s">
        <v>176</v>
      </c>
      <c r="B37" s="3">
        <f xml:space="preserve"> B35 / (B35 + D35)</f>
        <v>0.14285714285714285</v>
      </c>
      <c r="C37" s="3"/>
      <c r="D37" s="3"/>
      <c r="E37" s="3">
        <f t="shared" ref="E37" si="6" xml:space="preserve"> E35 / (E35 + G35)</f>
        <v>0.21739130434782608</v>
      </c>
      <c r="F37" s="3"/>
      <c r="G37" s="3"/>
      <c r="H37" s="3">
        <f t="shared" ref="H37" si="7" xml:space="preserve"> H35 / (H35 + J35)</f>
        <v>0.53846153846153844</v>
      </c>
      <c r="I37" s="3"/>
      <c r="J37" s="3"/>
      <c r="K37" s="3">
        <f t="shared" ref="K37" si="8" xml:space="preserve"> K35 / (K35 + M35)</f>
        <v>0.95652173913043481</v>
      </c>
      <c r="L37" s="3"/>
      <c r="M37" s="3"/>
      <c r="N37" s="3">
        <f t="shared" ref="N37" si="9" xml:space="preserve"> N35 / (N35 + P35)</f>
        <v>0.45833333333333331</v>
      </c>
      <c r="O37" s="3"/>
      <c r="P37" s="3"/>
      <c r="Q37" s="3">
        <f t="shared" ref="Q37" si="10" xml:space="preserve"> Q35 / (Q35 + S35)</f>
        <v>0.5</v>
      </c>
      <c r="R37" s="3"/>
      <c r="S37" s="3"/>
    </row>
  </sheetData>
  <mergeCells count="18">
    <mergeCell ref="Q1:S1"/>
    <mergeCell ref="B1:D1"/>
    <mergeCell ref="E1:G1"/>
    <mergeCell ref="H1:J1"/>
    <mergeCell ref="K1:M1"/>
    <mergeCell ref="N1:P1"/>
    <mergeCell ref="Q37:S37"/>
    <mergeCell ref="B36:D36"/>
    <mergeCell ref="E36:G36"/>
    <mergeCell ref="H36:J36"/>
    <mergeCell ref="K36:M36"/>
    <mergeCell ref="N36:P36"/>
    <mergeCell ref="Q36:S36"/>
    <mergeCell ref="B37:D37"/>
    <mergeCell ref="E37:G37"/>
    <mergeCell ref="H37:J37"/>
    <mergeCell ref="K37:M37"/>
    <mergeCell ref="N37:P3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E344-77B5-40BE-8F29-EF695136B76F}">
  <dimension ref="A1:S46"/>
  <sheetViews>
    <sheetView topLeftCell="A10" workbookViewId="0">
      <selection activeCell="B46" sqref="B46:D46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76</v>
      </c>
      <c r="B3">
        <v>0</v>
      </c>
      <c r="C3">
        <v>1</v>
      </c>
      <c r="D3">
        <v>9</v>
      </c>
      <c r="E3">
        <v>0</v>
      </c>
      <c r="F3">
        <v>0</v>
      </c>
      <c r="G3">
        <v>2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</row>
    <row r="4" spans="1:19" x14ac:dyDescent="0.25">
      <c r="A4" t="s">
        <v>77</v>
      </c>
      <c r="B4">
        <v>0</v>
      </c>
      <c r="C4">
        <v>0</v>
      </c>
      <c r="D4">
        <v>7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78</v>
      </c>
      <c r="B5">
        <v>0</v>
      </c>
      <c r="C5">
        <v>0</v>
      </c>
      <c r="D5">
        <v>6</v>
      </c>
      <c r="E5">
        <v>0</v>
      </c>
      <c r="F5">
        <v>0</v>
      </c>
      <c r="G5">
        <v>2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79</v>
      </c>
      <c r="B6">
        <v>1</v>
      </c>
      <c r="C6">
        <v>0</v>
      </c>
      <c r="D6">
        <v>5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80</v>
      </c>
      <c r="B7">
        <v>1</v>
      </c>
      <c r="C7">
        <v>0</v>
      </c>
      <c r="D7">
        <v>5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81</v>
      </c>
      <c r="B8">
        <v>1</v>
      </c>
      <c r="C8">
        <v>0</v>
      </c>
      <c r="D8">
        <v>5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82</v>
      </c>
      <c r="B9">
        <v>0</v>
      </c>
      <c r="C9">
        <v>0</v>
      </c>
      <c r="D9">
        <v>6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83</v>
      </c>
      <c r="B10">
        <v>0</v>
      </c>
      <c r="C10">
        <v>0</v>
      </c>
      <c r="D10">
        <v>6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84</v>
      </c>
      <c r="B11">
        <v>0</v>
      </c>
      <c r="C11">
        <v>0</v>
      </c>
      <c r="D11">
        <v>6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85</v>
      </c>
      <c r="B12">
        <v>1</v>
      </c>
      <c r="C12">
        <v>0</v>
      </c>
      <c r="D12">
        <v>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86</v>
      </c>
      <c r="B13">
        <v>0</v>
      </c>
      <c r="C13">
        <v>0</v>
      </c>
      <c r="D13">
        <v>6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87</v>
      </c>
      <c r="B14">
        <v>0</v>
      </c>
      <c r="C14">
        <v>1</v>
      </c>
      <c r="D14">
        <v>9</v>
      </c>
      <c r="E14">
        <v>0</v>
      </c>
      <c r="F14">
        <v>0</v>
      </c>
      <c r="G14">
        <v>2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</row>
    <row r="15" spans="1:19" x14ac:dyDescent="0.25">
      <c r="A15" t="s">
        <v>88</v>
      </c>
      <c r="B15">
        <v>0</v>
      </c>
      <c r="C15">
        <v>0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89</v>
      </c>
      <c r="B16">
        <v>1</v>
      </c>
      <c r="C16">
        <v>0</v>
      </c>
      <c r="D16">
        <v>5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90</v>
      </c>
      <c r="B17">
        <v>1</v>
      </c>
      <c r="C17">
        <v>0</v>
      </c>
      <c r="D17">
        <v>5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91</v>
      </c>
      <c r="B18">
        <v>1</v>
      </c>
      <c r="C18">
        <v>1</v>
      </c>
      <c r="D18">
        <v>5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92</v>
      </c>
      <c r="B19">
        <v>1</v>
      </c>
      <c r="C19">
        <v>0</v>
      </c>
      <c r="D19">
        <v>5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93</v>
      </c>
      <c r="B20">
        <v>1</v>
      </c>
      <c r="C20">
        <v>0</v>
      </c>
      <c r="D20">
        <v>5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94</v>
      </c>
      <c r="B21">
        <v>1</v>
      </c>
      <c r="C21">
        <v>0</v>
      </c>
      <c r="D21">
        <v>5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95</v>
      </c>
      <c r="B22">
        <v>1</v>
      </c>
      <c r="C22">
        <v>0</v>
      </c>
      <c r="D22">
        <v>5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</row>
    <row r="23" spans="1:19" x14ac:dyDescent="0.25">
      <c r="A23" t="s">
        <v>96</v>
      </c>
      <c r="B23">
        <v>0</v>
      </c>
      <c r="C23">
        <v>0</v>
      </c>
      <c r="D23">
        <v>6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</row>
    <row r="24" spans="1:19" x14ac:dyDescent="0.25">
      <c r="A24" t="s">
        <v>97</v>
      </c>
      <c r="B24">
        <v>0</v>
      </c>
      <c r="C24">
        <v>0</v>
      </c>
      <c r="D24">
        <v>6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25">
      <c r="A25" t="s">
        <v>98</v>
      </c>
      <c r="B25">
        <v>0</v>
      </c>
      <c r="C25">
        <v>0</v>
      </c>
      <c r="D25">
        <v>9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99</v>
      </c>
      <c r="B26">
        <v>0</v>
      </c>
      <c r="C26">
        <v>0</v>
      </c>
      <c r="D26">
        <v>6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</row>
    <row r="27" spans="1:19" x14ac:dyDescent="0.25">
      <c r="A27" t="s">
        <v>100</v>
      </c>
      <c r="B27">
        <v>0</v>
      </c>
      <c r="C27">
        <v>0</v>
      </c>
      <c r="D27">
        <v>6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101</v>
      </c>
      <c r="B28">
        <v>0</v>
      </c>
      <c r="C28">
        <v>0</v>
      </c>
      <c r="D28">
        <v>6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102</v>
      </c>
      <c r="B29">
        <v>0</v>
      </c>
      <c r="C29">
        <v>0</v>
      </c>
      <c r="D29">
        <v>3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103</v>
      </c>
      <c r="B30">
        <v>0</v>
      </c>
      <c r="C30">
        <v>1</v>
      </c>
      <c r="D30">
        <v>3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104</v>
      </c>
      <c r="B31">
        <v>0</v>
      </c>
      <c r="C31">
        <v>0</v>
      </c>
      <c r="D31">
        <v>3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105</v>
      </c>
      <c r="B32">
        <v>0</v>
      </c>
      <c r="C32">
        <v>0</v>
      </c>
      <c r="D32">
        <v>3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106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107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108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109</v>
      </c>
      <c r="B36">
        <v>0</v>
      </c>
      <c r="C36">
        <v>0</v>
      </c>
      <c r="D36">
        <v>9</v>
      </c>
      <c r="E36">
        <v>0</v>
      </c>
      <c r="F36">
        <v>0</v>
      </c>
      <c r="G36">
        <v>2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 x14ac:dyDescent="0.25">
      <c r="A37" t="s">
        <v>110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</row>
    <row r="38" spans="1:19" x14ac:dyDescent="0.25">
      <c r="A38" t="s">
        <v>111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112</v>
      </c>
      <c r="B39">
        <v>0</v>
      </c>
      <c r="C39">
        <v>0</v>
      </c>
      <c r="D39">
        <v>9</v>
      </c>
      <c r="E39">
        <v>0</v>
      </c>
      <c r="F39">
        <v>0</v>
      </c>
      <c r="G39">
        <v>2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113</v>
      </c>
      <c r="B40">
        <v>0</v>
      </c>
      <c r="C40">
        <v>0</v>
      </c>
      <c r="D40">
        <v>9</v>
      </c>
      <c r="E40">
        <v>1</v>
      </c>
      <c r="F40">
        <v>0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114</v>
      </c>
      <c r="B41">
        <v>0</v>
      </c>
      <c r="C41">
        <v>0</v>
      </c>
      <c r="D41">
        <v>9</v>
      </c>
      <c r="E41">
        <v>0</v>
      </c>
      <c r="F41">
        <v>0</v>
      </c>
      <c r="G41">
        <v>2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115</v>
      </c>
      <c r="B42">
        <v>0</v>
      </c>
      <c r="C42">
        <v>0</v>
      </c>
      <c r="D42">
        <v>7</v>
      </c>
      <c r="E42">
        <v>1</v>
      </c>
      <c r="F42">
        <v>0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116</v>
      </c>
      <c r="B43">
        <v>0</v>
      </c>
      <c r="C43">
        <v>0</v>
      </c>
      <c r="D43">
        <v>7</v>
      </c>
      <c r="E43">
        <v>1</v>
      </c>
      <c r="F43">
        <v>0</v>
      </c>
      <c r="G43">
        <v>1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 t="s">
        <v>174</v>
      </c>
      <c r="B44" s="1">
        <f>SUM(B3:B43)</f>
        <v>11</v>
      </c>
      <c r="C44" s="1">
        <f t="shared" ref="C44:S44" si="0">SUM(C3:C43)</f>
        <v>4</v>
      </c>
      <c r="D44" s="1">
        <f t="shared" si="0"/>
        <v>222</v>
      </c>
      <c r="E44" s="1">
        <f t="shared" si="0"/>
        <v>8</v>
      </c>
      <c r="F44" s="1">
        <f t="shared" si="0"/>
        <v>9</v>
      </c>
      <c r="G44" s="1">
        <f t="shared" si="0"/>
        <v>44</v>
      </c>
      <c r="H44" s="1">
        <f t="shared" si="0"/>
        <v>0</v>
      </c>
      <c r="I44" s="1">
        <f t="shared" si="0"/>
        <v>0</v>
      </c>
      <c r="J44" s="1">
        <f t="shared" si="0"/>
        <v>24</v>
      </c>
      <c r="K44" s="1">
        <f t="shared" si="0"/>
        <v>23</v>
      </c>
      <c r="L44" s="1">
        <f t="shared" si="0"/>
        <v>8</v>
      </c>
      <c r="M44" s="1">
        <f t="shared" si="0"/>
        <v>6</v>
      </c>
      <c r="N44" s="1">
        <f t="shared" si="0"/>
        <v>4</v>
      </c>
      <c r="O44" s="1">
        <f t="shared" si="0"/>
        <v>0</v>
      </c>
      <c r="P44" s="1">
        <f t="shared" si="0"/>
        <v>6</v>
      </c>
      <c r="Q44" s="1">
        <f t="shared" si="0"/>
        <v>2</v>
      </c>
      <c r="R44" s="1">
        <f t="shared" si="0"/>
        <v>2</v>
      </c>
      <c r="S44" s="1">
        <f t="shared" si="0"/>
        <v>7</v>
      </c>
    </row>
    <row r="45" spans="1:19" x14ac:dyDescent="0.25">
      <c r="A45" s="1" t="s">
        <v>175</v>
      </c>
      <c r="B45" s="3">
        <f>B44 / (B44 + C44)</f>
        <v>0.73333333333333328</v>
      </c>
      <c r="C45" s="3"/>
      <c r="D45" s="3"/>
      <c r="E45" s="3">
        <f t="shared" ref="E45" si="1">E44 / (E44 + F44)</f>
        <v>0.47058823529411764</v>
      </c>
      <c r="F45" s="3"/>
      <c r="G45" s="3"/>
      <c r="H45" s="3" t="e">
        <f t="shared" ref="H45" si="2">H44 / (H44 + I44)</f>
        <v>#DIV/0!</v>
      </c>
      <c r="I45" s="3"/>
      <c r="J45" s="3"/>
      <c r="K45" s="3">
        <f t="shared" ref="K45" si="3">K44 / (K44 + L44)</f>
        <v>0.74193548387096775</v>
      </c>
      <c r="L45" s="3"/>
      <c r="M45" s="3"/>
      <c r="N45" s="3">
        <f t="shared" ref="N45" si="4">N44 / (N44 + O44)</f>
        <v>1</v>
      </c>
      <c r="O45" s="3"/>
      <c r="P45" s="3"/>
      <c r="Q45" s="3">
        <f t="shared" ref="Q45" si="5">Q44 / (Q44 + R44)</f>
        <v>0.5</v>
      </c>
      <c r="R45" s="3"/>
      <c r="S45" s="3"/>
    </row>
    <row r="46" spans="1:19" x14ac:dyDescent="0.25">
      <c r="A46" s="1" t="s">
        <v>176</v>
      </c>
      <c r="B46" s="3">
        <f xml:space="preserve"> B44 / (B44 + D44)</f>
        <v>4.7210300429184553E-2</v>
      </c>
      <c r="C46" s="3"/>
      <c r="D46" s="3"/>
      <c r="E46" s="3">
        <f t="shared" ref="E46" si="6" xml:space="preserve"> E44 / (E44 + G44)</f>
        <v>0.15384615384615385</v>
      </c>
      <c r="F46" s="3"/>
      <c r="G46" s="3"/>
      <c r="H46" s="3">
        <f t="shared" ref="H46" si="7" xml:space="preserve"> H44 / (H44 + J44)</f>
        <v>0</v>
      </c>
      <c r="I46" s="3"/>
      <c r="J46" s="3"/>
      <c r="K46" s="3">
        <f t="shared" ref="K46" si="8" xml:space="preserve"> K44 / (K44 + M44)</f>
        <v>0.7931034482758621</v>
      </c>
      <c r="L46" s="3"/>
      <c r="M46" s="3"/>
      <c r="N46" s="3">
        <f t="shared" ref="N46" si="9" xml:space="preserve"> N44 / (N44 + P44)</f>
        <v>0.4</v>
      </c>
      <c r="O46" s="3"/>
      <c r="P46" s="3"/>
      <c r="Q46" s="3">
        <f t="shared" ref="Q46" si="10" xml:space="preserve"> Q44 / (Q44 + S44)</f>
        <v>0.22222222222222221</v>
      </c>
      <c r="R46" s="3"/>
      <c r="S46" s="3"/>
    </row>
  </sheetData>
  <mergeCells count="18">
    <mergeCell ref="Q1:S1"/>
    <mergeCell ref="B1:D1"/>
    <mergeCell ref="E1:G1"/>
    <mergeCell ref="H1:J1"/>
    <mergeCell ref="K1:M1"/>
    <mergeCell ref="N1:P1"/>
    <mergeCell ref="Q46:S46"/>
    <mergeCell ref="B45:D45"/>
    <mergeCell ref="E45:G45"/>
    <mergeCell ref="H45:J45"/>
    <mergeCell ref="K45:M45"/>
    <mergeCell ref="N45:P45"/>
    <mergeCell ref="Q45:S45"/>
    <mergeCell ref="B46:D46"/>
    <mergeCell ref="E46:G46"/>
    <mergeCell ref="H46:J46"/>
    <mergeCell ref="K46:M46"/>
    <mergeCell ref="N46:P4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CFB2-E2E5-429B-B476-9AB5B3683A4D}">
  <dimension ref="A1:S32"/>
  <sheetViews>
    <sheetView workbookViewId="0">
      <selection activeCell="A31" sqref="A31:S32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117</v>
      </c>
      <c r="B3">
        <v>0</v>
      </c>
      <c r="C3">
        <v>0</v>
      </c>
      <c r="D3">
        <v>8</v>
      </c>
      <c r="E3">
        <v>2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118</v>
      </c>
      <c r="B4">
        <v>0</v>
      </c>
      <c r="C4">
        <v>0</v>
      </c>
      <c r="D4">
        <v>8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</row>
    <row r="5" spans="1:19" x14ac:dyDescent="0.25">
      <c r="A5" t="s">
        <v>119</v>
      </c>
      <c r="B5">
        <v>0</v>
      </c>
      <c r="C5">
        <v>0</v>
      </c>
      <c r="D5">
        <v>7</v>
      </c>
      <c r="E5">
        <v>1</v>
      </c>
      <c r="F5">
        <v>0</v>
      </c>
      <c r="G5">
        <v>2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120</v>
      </c>
      <c r="B6">
        <v>0</v>
      </c>
      <c r="C6">
        <v>0</v>
      </c>
      <c r="D6">
        <v>8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121</v>
      </c>
      <c r="B7">
        <v>0</v>
      </c>
      <c r="C7">
        <v>0</v>
      </c>
      <c r="D7">
        <v>4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122</v>
      </c>
      <c r="B8">
        <v>0</v>
      </c>
      <c r="C8">
        <v>0</v>
      </c>
      <c r="D8">
        <v>4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123</v>
      </c>
      <c r="B9">
        <v>0</v>
      </c>
      <c r="C9">
        <v>0</v>
      </c>
      <c r="D9">
        <v>4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</row>
    <row r="10" spans="1:19" x14ac:dyDescent="0.25">
      <c r="A10" t="s">
        <v>124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</row>
    <row r="11" spans="1:19" x14ac:dyDescent="0.25">
      <c r="A11" t="s">
        <v>125</v>
      </c>
      <c r="B11">
        <v>0</v>
      </c>
      <c r="C11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126</v>
      </c>
      <c r="B12">
        <v>0</v>
      </c>
      <c r="C12">
        <v>0</v>
      </c>
      <c r="D12">
        <v>4</v>
      </c>
      <c r="E12">
        <v>0</v>
      </c>
      <c r="F12">
        <v>0</v>
      </c>
      <c r="G12">
        <v>2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127</v>
      </c>
      <c r="B13">
        <v>1</v>
      </c>
      <c r="C13">
        <v>0</v>
      </c>
      <c r="D13">
        <v>4</v>
      </c>
      <c r="E13">
        <v>0</v>
      </c>
      <c r="F13">
        <v>0</v>
      </c>
      <c r="G13">
        <v>2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128</v>
      </c>
      <c r="B14">
        <v>1</v>
      </c>
      <c r="C14">
        <v>0</v>
      </c>
      <c r="D14">
        <v>7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129</v>
      </c>
      <c r="B15">
        <v>1</v>
      </c>
      <c r="C15">
        <v>0</v>
      </c>
      <c r="D15">
        <v>3</v>
      </c>
      <c r="E15">
        <v>0</v>
      </c>
      <c r="F15">
        <v>0</v>
      </c>
      <c r="G15">
        <v>2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</row>
    <row r="16" spans="1:19" x14ac:dyDescent="0.25">
      <c r="A16" t="s">
        <v>130</v>
      </c>
      <c r="B16">
        <v>1</v>
      </c>
      <c r="C16">
        <v>0</v>
      </c>
      <c r="D16">
        <v>3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131</v>
      </c>
      <c r="B17">
        <v>1</v>
      </c>
      <c r="C17">
        <v>0</v>
      </c>
      <c r="D17">
        <v>3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132</v>
      </c>
      <c r="B18">
        <v>2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133</v>
      </c>
      <c r="B19">
        <v>2</v>
      </c>
      <c r="C19">
        <v>0</v>
      </c>
      <c r="D19">
        <v>0</v>
      </c>
      <c r="E19">
        <v>0</v>
      </c>
      <c r="F19">
        <v>1</v>
      </c>
      <c r="G19">
        <v>2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134</v>
      </c>
      <c r="B20">
        <v>2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135</v>
      </c>
      <c r="B21">
        <v>1</v>
      </c>
      <c r="C21">
        <v>1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136</v>
      </c>
      <c r="B22">
        <v>1</v>
      </c>
      <c r="C22">
        <v>0</v>
      </c>
      <c r="D22">
        <v>3</v>
      </c>
      <c r="E22">
        <v>0</v>
      </c>
      <c r="F22">
        <v>0</v>
      </c>
      <c r="G22">
        <v>2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137</v>
      </c>
      <c r="B23">
        <v>0</v>
      </c>
      <c r="C23">
        <v>0</v>
      </c>
      <c r="D23">
        <v>6</v>
      </c>
      <c r="E23">
        <v>2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138</v>
      </c>
      <c r="B24">
        <v>0</v>
      </c>
      <c r="C24">
        <v>0</v>
      </c>
      <c r="D24">
        <v>8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139</v>
      </c>
      <c r="B25">
        <v>1</v>
      </c>
      <c r="C25">
        <v>0</v>
      </c>
      <c r="D25">
        <v>7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140</v>
      </c>
      <c r="B26">
        <v>1</v>
      </c>
      <c r="C26">
        <v>0</v>
      </c>
      <c r="D26">
        <v>7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141</v>
      </c>
      <c r="B27">
        <v>1</v>
      </c>
      <c r="C27">
        <v>0</v>
      </c>
      <c r="D27">
        <v>7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142</v>
      </c>
      <c r="B28">
        <v>1</v>
      </c>
      <c r="C28">
        <v>0</v>
      </c>
      <c r="D28">
        <v>7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143</v>
      </c>
      <c r="B29">
        <v>0</v>
      </c>
      <c r="C29">
        <v>0</v>
      </c>
      <c r="D29">
        <v>8</v>
      </c>
      <c r="E29">
        <v>1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s="1" t="s">
        <v>174</v>
      </c>
      <c r="B30" s="1">
        <f>SUM(B3:B29)</f>
        <v>18</v>
      </c>
      <c r="C30" s="1">
        <f t="shared" ref="C30:S30" si="0">SUM(C3:C29)</f>
        <v>1</v>
      </c>
      <c r="D30" s="1">
        <f t="shared" si="0"/>
        <v>124</v>
      </c>
      <c r="E30" s="1">
        <f t="shared" si="0"/>
        <v>19</v>
      </c>
      <c r="F30" s="1">
        <f t="shared" si="0"/>
        <v>5</v>
      </c>
      <c r="G30" s="1">
        <f t="shared" si="0"/>
        <v>36</v>
      </c>
      <c r="H30" s="1">
        <f t="shared" si="0"/>
        <v>2</v>
      </c>
      <c r="I30" s="1">
        <f t="shared" si="0"/>
        <v>0</v>
      </c>
      <c r="J30" s="1">
        <f t="shared" si="0"/>
        <v>15</v>
      </c>
      <c r="K30" s="1">
        <f t="shared" si="0"/>
        <v>18</v>
      </c>
      <c r="L30" s="1">
        <f t="shared" si="0"/>
        <v>4</v>
      </c>
      <c r="M30" s="1">
        <f t="shared" si="0"/>
        <v>6</v>
      </c>
      <c r="N30" s="1">
        <f t="shared" si="0"/>
        <v>12</v>
      </c>
      <c r="O30" s="1">
        <f t="shared" si="0"/>
        <v>0</v>
      </c>
      <c r="P30" s="1">
        <f t="shared" si="0"/>
        <v>7</v>
      </c>
      <c r="Q30" s="1">
        <f t="shared" si="0"/>
        <v>4</v>
      </c>
      <c r="R30" s="1">
        <f t="shared" si="0"/>
        <v>2</v>
      </c>
      <c r="S30" s="1">
        <f t="shared" si="0"/>
        <v>22</v>
      </c>
    </row>
    <row r="31" spans="1:19" x14ac:dyDescent="0.25">
      <c r="A31" s="1" t="s">
        <v>175</v>
      </c>
      <c r="B31" s="3">
        <f>B30 / (B30 + C30)</f>
        <v>0.94736842105263153</v>
      </c>
      <c r="C31" s="3"/>
      <c r="D31" s="3"/>
      <c r="E31" s="3">
        <f t="shared" ref="E31" si="1">E30 / (E30 + F30)</f>
        <v>0.79166666666666663</v>
      </c>
      <c r="F31" s="3"/>
      <c r="G31" s="3"/>
      <c r="H31" s="3">
        <f t="shared" ref="H31" si="2">H30 / (H30 + I30)</f>
        <v>1</v>
      </c>
      <c r="I31" s="3"/>
      <c r="J31" s="3"/>
      <c r="K31" s="3">
        <f t="shared" ref="K31" si="3">K30 / (K30 + L30)</f>
        <v>0.81818181818181823</v>
      </c>
      <c r="L31" s="3"/>
      <c r="M31" s="3"/>
      <c r="N31" s="3">
        <f t="shared" ref="N31" si="4">N30 / (N30 + O30)</f>
        <v>1</v>
      </c>
      <c r="O31" s="3"/>
      <c r="P31" s="3"/>
      <c r="Q31" s="3">
        <f t="shared" ref="Q31" si="5">Q30 / (Q30 + R30)</f>
        <v>0.66666666666666663</v>
      </c>
      <c r="R31" s="3"/>
      <c r="S31" s="3"/>
    </row>
    <row r="32" spans="1:19" x14ac:dyDescent="0.25">
      <c r="A32" s="1" t="s">
        <v>176</v>
      </c>
      <c r="B32" s="3">
        <f xml:space="preserve"> B30 / (B30 + D30)</f>
        <v>0.12676056338028169</v>
      </c>
      <c r="C32" s="3"/>
      <c r="D32" s="3"/>
      <c r="E32" s="3">
        <f t="shared" ref="E32" si="6" xml:space="preserve"> E30 / (E30 + G30)</f>
        <v>0.34545454545454546</v>
      </c>
      <c r="F32" s="3"/>
      <c r="G32" s="3"/>
      <c r="H32" s="3">
        <f t="shared" ref="H32" si="7" xml:space="preserve"> H30 / (H30 + J30)</f>
        <v>0.11764705882352941</v>
      </c>
      <c r="I32" s="3"/>
      <c r="J32" s="3"/>
      <c r="K32" s="3">
        <f t="shared" ref="K32" si="8" xml:space="preserve"> K30 / (K30 + M30)</f>
        <v>0.75</v>
      </c>
      <c r="L32" s="3"/>
      <c r="M32" s="3"/>
      <c r="N32" s="3">
        <f t="shared" ref="N32" si="9" xml:space="preserve"> N30 / (N30 + P30)</f>
        <v>0.63157894736842102</v>
      </c>
      <c r="O32" s="3"/>
      <c r="P32" s="3"/>
      <c r="Q32" s="3">
        <f t="shared" ref="Q32" si="10" xml:space="preserve"> Q30 / (Q30 + S30)</f>
        <v>0.15384615384615385</v>
      </c>
      <c r="R32" s="3"/>
      <c r="S32" s="3"/>
    </row>
  </sheetData>
  <mergeCells count="18">
    <mergeCell ref="Q1:S1"/>
    <mergeCell ref="B1:D1"/>
    <mergeCell ref="E1:G1"/>
    <mergeCell ref="H1:J1"/>
    <mergeCell ref="K1:M1"/>
    <mergeCell ref="N1:P1"/>
    <mergeCell ref="Q32:S32"/>
    <mergeCell ref="B31:D31"/>
    <mergeCell ref="E31:G31"/>
    <mergeCell ref="H31:J31"/>
    <mergeCell ref="K31:M31"/>
    <mergeCell ref="N31:P31"/>
    <mergeCell ref="Q31:S31"/>
    <mergeCell ref="B32:D32"/>
    <mergeCell ref="E32:G32"/>
    <mergeCell ref="H32:J32"/>
    <mergeCell ref="K32:M32"/>
    <mergeCell ref="N32:P3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0AC-FE69-422A-ACD0-36B898824B42}">
  <dimension ref="A1:S35"/>
  <sheetViews>
    <sheetView workbookViewId="0">
      <selection activeCell="T29" sqref="T29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144</v>
      </c>
      <c r="B3">
        <v>2</v>
      </c>
      <c r="C3">
        <v>0</v>
      </c>
      <c r="D3">
        <v>2</v>
      </c>
      <c r="E3">
        <v>0</v>
      </c>
      <c r="F3">
        <v>0</v>
      </c>
      <c r="G3">
        <v>3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145</v>
      </c>
      <c r="B4">
        <v>0</v>
      </c>
      <c r="C4">
        <v>0</v>
      </c>
      <c r="D4">
        <v>8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 x14ac:dyDescent="0.25">
      <c r="A5" t="s">
        <v>146</v>
      </c>
      <c r="B5">
        <v>0</v>
      </c>
      <c r="C5">
        <v>0</v>
      </c>
      <c r="D5">
        <v>8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147</v>
      </c>
      <c r="B6">
        <v>1</v>
      </c>
      <c r="C6">
        <v>2</v>
      </c>
      <c r="D6">
        <v>6</v>
      </c>
      <c r="E6">
        <v>0</v>
      </c>
      <c r="F6">
        <v>0</v>
      </c>
      <c r="G6">
        <v>2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148</v>
      </c>
      <c r="B7">
        <v>1</v>
      </c>
      <c r="C7">
        <v>1</v>
      </c>
      <c r="D7">
        <v>5</v>
      </c>
      <c r="E7">
        <v>0</v>
      </c>
      <c r="F7">
        <v>0</v>
      </c>
      <c r="G7">
        <v>2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149</v>
      </c>
      <c r="B8">
        <v>1</v>
      </c>
      <c r="C8">
        <v>0</v>
      </c>
      <c r="D8">
        <v>5</v>
      </c>
      <c r="E8">
        <v>0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150</v>
      </c>
      <c r="B9">
        <v>1</v>
      </c>
      <c r="C9">
        <v>0</v>
      </c>
      <c r="D9">
        <v>5</v>
      </c>
      <c r="E9">
        <v>0</v>
      </c>
      <c r="F9">
        <v>0</v>
      </c>
      <c r="G9">
        <v>2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151</v>
      </c>
      <c r="B10">
        <v>0</v>
      </c>
      <c r="C10">
        <v>0</v>
      </c>
      <c r="D10">
        <v>6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152</v>
      </c>
      <c r="B11">
        <v>0</v>
      </c>
      <c r="C11">
        <v>0</v>
      </c>
      <c r="D11">
        <v>6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153</v>
      </c>
      <c r="B12">
        <v>0</v>
      </c>
      <c r="C12">
        <v>0</v>
      </c>
      <c r="D12">
        <v>6</v>
      </c>
      <c r="E12">
        <v>0</v>
      </c>
      <c r="F12">
        <v>0</v>
      </c>
      <c r="G12">
        <v>2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154</v>
      </c>
      <c r="B13">
        <v>0</v>
      </c>
      <c r="C13">
        <v>0</v>
      </c>
      <c r="D13">
        <v>6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155</v>
      </c>
      <c r="B14">
        <v>1</v>
      </c>
      <c r="C14">
        <v>0</v>
      </c>
      <c r="D14">
        <v>4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156</v>
      </c>
      <c r="B15">
        <v>0</v>
      </c>
      <c r="C15">
        <v>0</v>
      </c>
      <c r="D15">
        <v>6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157</v>
      </c>
      <c r="B16">
        <v>2</v>
      </c>
      <c r="C16">
        <v>2</v>
      </c>
      <c r="D16">
        <v>2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158</v>
      </c>
      <c r="B17">
        <v>1</v>
      </c>
      <c r="C17">
        <v>1</v>
      </c>
      <c r="D17">
        <v>4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159</v>
      </c>
      <c r="B18">
        <v>1</v>
      </c>
      <c r="C18">
        <v>1</v>
      </c>
      <c r="D18">
        <v>4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160</v>
      </c>
      <c r="B19">
        <v>0</v>
      </c>
      <c r="C19">
        <v>1</v>
      </c>
      <c r="D19">
        <v>5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161</v>
      </c>
      <c r="B20">
        <v>0</v>
      </c>
      <c r="C20">
        <v>1</v>
      </c>
      <c r="D20">
        <v>5</v>
      </c>
      <c r="E20">
        <v>0</v>
      </c>
      <c r="F20">
        <v>0</v>
      </c>
      <c r="G20">
        <v>2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162</v>
      </c>
      <c r="B21">
        <v>1</v>
      </c>
      <c r="C21">
        <v>0</v>
      </c>
      <c r="D21">
        <v>4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163</v>
      </c>
      <c r="B22">
        <v>0</v>
      </c>
      <c r="C22">
        <v>2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164</v>
      </c>
      <c r="B23">
        <v>0</v>
      </c>
      <c r="C23">
        <v>0</v>
      </c>
      <c r="D23">
        <v>2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165</v>
      </c>
      <c r="B24">
        <v>0</v>
      </c>
      <c r="C24">
        <v>0</v>
      </c>
      <c r="D24">
        <v>2</v>
      </c>
      <c r="E24">
        <v>0</v>
      </c>
      <c r="F24">
        <v>0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2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166</v>
      </c>
      <c r="B25">
        <v>1</v>
      </c>
      <c r="C25">
        <v>0</v>
      </c>
      <c r="D25">
        <v>3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167</v>
      </c>
      <c r="B26">
        <v>0</v>
      </c>
      <c r="C26">
        <v>0</v>
      </c>
      <c r="D26">
        <v>5</v>
      </c>
      <c r="E26">
        <v>0</v>
      </c>
      <c r="F26">
        <v>0</v>
      </c>
      <c r="G26">
        <v>2</v>
      </c>
      <c r="H26">
        <v>1</v>
      </c>
      <c r="I26">
        <v>0</v>
      </c>
      <c r="J26">
        <v>0</v>
      </c>
      <c r="K26">
        <v>0</v>
      </c>
      <c r="L26">
        <v>0</v>
      </c>
      <c r="M26">
        <v>2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168</v>
      </c>
      <c r="B27">
        <v>1</v>
      </c>
      <c r="C27">
        <v>1</v>
      </c>
      <c r="D27">
        <v>3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169</v>
      </c>
      <c r="B28">
        <v>2</v>
      </c>
      <c r="C28">
        <v>0</v>
      </c>
      <c r="D28">
        <v>2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170</v>
      </c>
      <c r="B29">
        <v>1</v>
      </c>
      <c r="C29">
        <v>0</v>
      </c>
      <c r="D29">
        <v>3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171</v>
      </c>
      <c r="B30">
        <v>0</v>
      </c>
      <c r="C30">
        <v>0</v>
      </c>
      <c r="D30">
        <v>4</v>
      </c>
      <c r="E30">
        <v>0</v>
      </c>
      <c r="F30">
        <v>0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 x14ac:dyDescent="0.25">
      <c r="A31" t="s">
        <v>172</v>
      </c>
      <c r="B31">
        <v>0</v>
      </c>
      <c r="C31">
        <v>0</v>
      </c>
      <c r="D31">
        <v>6</v>
      </c>
      <c r="E31">
        <v>0</v>
      </c>
      <c r="F31">
        <v>0</v>
      </c>
      <c r="G31">
        <v>2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173</v>
      </c>
      <c r="B32">
        <v>0</v>
      </c>
      <c r="C32">
        <v>0</v>
      </c>
      <c r="D32">
        <v>8</v>
      </c>
      <c r="E32">
        <v>0</v>
      </c>
      <c r="F32">
        <v>0</v>
      </c>
      <c r="G32">
        <v>2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s="1" t="s">
        <v>174</v>
      </c>
      <c r="B33" s="1">
        <f>SUM(B3:B32)</f>
        <v>17</v>
      </c>
      <c r="C33" s="1">
        <f t="shared" ref="C33:S33" si="0">SUM(C3:C32)</f>
        <v>12</v>
      </c>
      <c r="D33" s="1">
        <f t="shared" si="0"/>
        <v>137</v>
      </c>
      <c r="E33" s="1">
        <f t="shared" si="0"/>
        <v>14</v>
      </c>
      <c r="F33" s="1">
        <f t="shared" si="0"/>
        <v>0</v>
      </c>
      <c r="G33" s="1">
        <f t="shared" si="0"/>
        <v>47</v>
      </c>
      <c r="H33" s="1">
        <f t="shared" si="0"/>
        <v>15</v>
      </c>
      <c r="I33" s="1">
        <f t="shared" si="0"/>
        <v>0</v>
      </c>
      <c r="J33" s="1">
        <f t="shared" si="0"/>
        <v>6</v>
      </c>
      <c r="K33" s="1">
        <f t="shared" si="0"/>
        <v>28</v>
      </c>
      <c r="L33" s="1">
        <f t="shared" si="0"/>
        <v>0</v>
      </c>
      <c r="M33" s="1">
        <f t="shared" si="0"/>
        <v>9</v>
      </c>
      <c r="N33" s="1">
        <f t="shared" si="0"/>
        <v>9</v>
      </c>
      <c r="O33" s="1">
        <f t="shared" si="0"/>
        <v>0</v>
      </c>
      <c r="P33" s="1">
        <f t="shared" si="0"/>
        <v>2</v>
      </c>
      <c r="Q33" s="1">
        <f t="shared" si="0"/>
        <v>12</v>
      </c>
      <c r="R33" s="1">
        <f t="shared" si="0"/>
        <v>2</v>
      </c>
      <c r="S33" s="1">
        <f t="shared" si="0"/>
        <v>3</v>
      </c>
    </row>
    <row r="34" spans="1:19" x14ac:dyDescent="0.25">
      <c r="A34" s="1" t="s">
        <v>175</v>
      </c>
      <c r="B34" s="3">
        <f>B33 / (B33 + C33)</f>
        <v>0.58620689655172409</v>
      </c>
      <c r="C34" s="3"/>
      <c r="D34" s="3"/>
      <c r="E34" s="3">
        <f t="shared" ref="E34" si="1">E33 / (E33 + F33)</f>
        <v>1</v>
      </c>
      <c r="F34" s="3"/>
      <c r="G34" s="3"/>
      <c r="H34" s="3">
        <f t="shared" ref="H34" si="2">H33 / (H33 + I33)</f>
        <v>1</v>
      </c>
      <c r="I34" s="3"/>
      <c r="J34" s="3"/>
      <c r="K34" s="3">
        <f t="shared" ref="K34" si="3">K33 / (K33 + L33)</f>
        <v>1</v>
      </c>
      <c r="L34" s="3"/>
      <c r="M34" s="3"/>
      <c r="N34" s="3">
        <f t="shared" ref="N34" si="4">N33 / (N33 + O33)</f>
        <v>1</v>
      </c>
      <c r="O34" s="3"/>
      <c r="P34" s="3"/>
      <c r="Q34" s="3">
        <f t="shared" ref="Q34" si="5">Q33 / (Q33 + R33)</f>
        <v>0.8571428571428571</v>
      </c>
      <c r="R34" s="3"/>
      <c r="S34" s="3"/>
    </row>
    <row r="35" spans="1:19" x14ac:dyDescent="0.25">
      <c r="A35" s="1" t="s">
        <v>176</v>
      </c>
      <c r="B35" s="3">
        <f xml:space="preserve"> B33 / (B33 + D33)</f>
        <v>0.11038961038961038</v>
      </c>
      <c r="C35" s="3"/>
      <c r="D35" s="3"/>
      <c r="E35" s="3">
        <f t="shared" ref="E35" si="6" xml:space="preserve"> E33 / (E33 + G33)</f>
        <v>0.22950819672131148</v>
      </c>
      <c r="F35" s="3"/>
      <c r="G35" s="3"/>
      <c r="H35" s="3">
        <f t="shared" ref="H35" si="7" xml:space="preserve"> H33 / (H33 + J33)</f>
        <v>0.7142857142857143</v>
      </c>
      <c r="I35" s="3"/>
      <c r="J35" s="3"/>
      <c r="K35" s="3">
        <f t="shared" ref="K35" si="8" xml:space="preserve"> K33 / (K33 + M33)</f>
        <v>0.7567567567567568</v>
      </c>
      <c r="L35" s="3"/>
      <c r="M35" s="3"/>
      <c r="N35" s="3">
        <f t="shared" ref="N35" si="9" xml:space="preserve"> N33 / (N33 + P33)</f>
        <v>0.81818181818181823</v>
      </c>
      <c r="O35" s="3"/>
      <c r="P35" s="3"/>
      <c r="Q35" s="3">
        <f t="shared" ref="Q35" si="10" xml:space="preserve"> Q33 / (Q33 + S33)</f>
        <v>0.8</v>
      </c>
      <c r="R35" s="3"/>
      <c r="S35" s="3"/>
    </row>
  </sheetData>
  <mergeCells count="18">
    <mergeCell ref="Q1:S1"/>
    <mergeCell ref="B1:D1"/>
    <mergeCell ref="E1:G1"/>
    <mergeCell ref="H1:J1"/>
    <mergeCell ref="K1:M1"/>
    <mergeCell ref="N1:P1"/>
    <mergeCell ref="Q35:S35"/>
    <mergeCell ref="B34:D34"/>
    <mergeCell ref="E34:G34"/>
    <mergeCell ref="H34:J34"/>
    <mergeCell ref="K34:M34"/>
    <mergeCell ref="N34:P34"/>
    <mergeCell ref="Q34:S34"/>
    <mergeCell ref="B35:D35"/>
    <mergeCell ref="E35:G35"/>
    <mergeCell ref="H35:J35"/>
    <mergeCell ref="K35:M35"/>
    <mergeCell ref="N35:P3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CFDD-D3A3-4E95-B1D9-BB2C2B97D42C}">
  <dimension ref="A1:S5"/>
  <sheetViews>
    <sheetView tabSelected="1" workbookViewId="0">
      <selection activeCell="W17" sqref="W17"/>
    </sheetView>
  </sheetViews>
  <sheetFormatPr defaultRowHeight="15" x14ac:dyDescent="0.25"/>
  <sheetData>
    <row r="1" spans="1:19" x14ac:dyDescent="0.25"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5">
        <f>SUM('rodada 1'!B37,'rodada 2'!B35,'rodada 3'!B44,'rodada 4'!B30,'rodada 5'!B33,)</f>
        <v>77</v>
      </c>
      <c r="C3" s="5">
        <f>SUM('rodada 1'!C37,'rodada 2'!C35,'rodada 3'!C44,'rodada 4'!C30,'rodada 5'!C33,)</f>
        <v>61</v>
      </c>
      <c r="D3" s="5">
        <f>SUM('rodada 1'!D37,'rodada 2'!D35,'rodada 3'!D44,'rodada 4'!D30,'rodada 5'!D33,)</f>
        <v>528</v>
      </c>
      <c r="E3" s="5">
        <f>SUM('rodada 1'!E37,'rodada 2'!E35,'rodada 3'!E44,'rodada 4'!E30,'rodada 5'!E33,)</f>
        <v>47</v>
      </c>
      <c r="F3" s="5">
        <f>SUM('rodada 1'!F37,'rodada 2'!F35,'rodada 3'!F44,'rodada 4'!F30,'rodada 5'!F33,)</f>
        <v>22</v>
      </c>
      <c r="G3" s="5">
        <f>SUM('rodada 1'!G37,'rodada 2'!G35,'rodada 3'!G44,'rodada 4'!G30,'rodada 5'!G33,)</f>
        <v>157</v>
      </c>
      <c r="H3" s="5">
        <f>SUM('rodada 1'!H37,'rodada 2'!H35,'rodada 3'!H44,'rodada 4'!H30,'rodada 5'!H33,)</f>
        <v>45</v>
      </c>
      <c r="I3" s="5">
        <f>SUM('rodada 1'!I37,'rodada 2'!I35,'rodada 3'!I44,'rodada 4'!I30,'rodada 5'!I33,)</f>
        <v>0</v>
      </c>
      <c r="J3" s="5">
        <f>SUM('rodada 1'!J37,'rodada 2'!J35,'rodada 3'!J44,'rodada 4'!J30,'rodada 5'!J33,)</f>
        <v>61</v>
      </c>
      <c r="K3" s="5">
        <f>SUM('rodada 1'!K37,'rodada 2'!K35,'rodada 3'!K44,'rodada 4'!K30,'rodada 5'!K33,)</f>
        <v>115</v>
      </c>
      <c r="L3" s="5">
        <f>SUM('rodada 1'!L37,'rodada 2'!L35,'rodada 3'!L44,'rodada 4'!L30,'rodada 5'!L33,)</f>
        <v>24</v>
      </c>
      <c r="M3" s="5">
        <f>SUM('rodada 1'!M37,'rodada 2'!M35,'rodada 3'!M44,'rodada 4'!M30,'rodada 5'!M33,)</f>
        <v>23</v>
      </c>
      <c r="N3" s="5">
        <f>SUM('rodada 1'!N37,'rodada 2'!N35,'rodada 3'!N44,'rodada 4'!N30,'rodada 5'!N33,)</f>
        <v>44</v>
      </c>
      <c r="O3" s="5">
        <f>SUM('rodada 1'!O37,'rodada 2'!O35,'rodada 3'!O44,'rodada 4'!O30,'rodada 5'!O33,)</f>
        <v>1</v>
      </c>
      <c r="P3" s="5">
        <f>SUM('rodada 1'!P37,'rodada 2'!P35,'rodada 3'!P44,'rodada 4'!P30,'rodada 5'!P33,)</f>
        <v>39</v>
      </c>
      <c r="Q3" s="5">
        <f>SUM('rodada 1'!Q37,'rodada 2'!Q35,'rodada 3'!Q44,'rodada 4'!Q30,'rodada 5'!Q33,)</f>
        <v>36</v>
      </c>
      <c r="R3" s="5">
        <f>SUM('rodada 1'!R37,'rodada 2'!R35,'rodada 3'!R44,'rodada 4'!R30,'rodada 5'!R33,)</f>
        <v>22</v>
      </c>
      <c r="S3" s="5">
        <f>SUM('rodada 1'!S37,'rodada 2'!S35,'rodada 3'!S44,'rodada 4'!S30,'rodada 5'!S33,)</f>
        <v>41</v>
      </c>
    </row>
    <row r="4" spans="1:19" x14ac:dyDescent="0.25">
      <c r="A4" s="1" t="s">
        <v>175</v>
      </c>
      <c r="B4" s="3">
        <f>B3 / (B3 + C3)</f>
        <v>0.55797101449275366</v>
      </c>
      <c r="C4" s="3"/>
      <c r="D4" s="3"/>
      <c r="E4" s="3">
        <f t="shared" ref="E4" si="0">E3 / (E3 + F3)</f>
        <v>0.6811594202898551</v>
      </c>
      <c r="F4" s="3"/>
      <c r="G4" s="3"/>
      <c r="H4" s="3">
        <f t="shared" ref="H4" si="1">H3 / (H3 + I3)</f>
        <v>1</v>
      </c>
      <c r="I4" s="3"/>
      <c r="J4" s="3"/>
      <c r="K4" s="3">
        <f t="shared" ref="K4" si="2">K3 / (K3 + L3)</f>
        <v>0.82733812949640284</v>
      </c>
      <c r="L4" s="3"/>
      <c r="M4" s="3"/>
      <c r="N4" s="3">
        <f t="shared" ref="N4" si="3">N3 / (N3 + O3)</f>
        <v>0.97777777777777775</v>
      </c>
      <c r="O4" s="3"/>
      <c r="P4" s="3"/>
      <c r="Q4" s="3">
        <f t="shared" ref="Q4" si="4">Q3 / (Q3 + R3)</f>
        <v>0.62068965517241381</v>
      </c>
      <c r="R4" s="3"/>
      <c r="S4" s="3"/>
    </row>
    <row r="5" spans="1:19" x14ac:dyDescent="0.25">
      <c r="A5" s="1" t="s">
        <v>176</v>
      </c>
      <c r="B5" s="3">
        <f xml:space="preserve"> B3 / (B3 + D3)</f>
        <v>0.12727272727272726</v>
      </c>
      <c r="C5" s="3"/>
      <c r="D5" s="3"/>
      <c r="E5" s="3">
        <f t="shared" ref="E5" si="5" xml:space="preserve"> E3 / (E3 + G3)</f>
        <v>0.23039215686274508</v>
      </c>
      <c r="F5" s="3"/>
      <c r="G5" s="3"/>
      <c r="H5" s="3">
        <f t="shared" ref="H5" si="6" xml:space="preserve"> H3 / (H3 + J3)</f>
        <v>0.42452830188679247</v>
      </c>
      <c r="I5" s="3"/>
      <c r="J5" s="3"/>
      <c r="K5" s="3">
        <f t="shared" ref="K5" si="7" xml:space="preserve"> K3 / (K3 + M3)</f>
        <v>0.83333333333333337</v>
      </c>
      <c r="L5" s="3"/>
      <c r="M5" s="3"/>
      <c r="N5" s="3">
        <f t="shared" ref="N5" si="8" xml:space="preserve"> N3 / (N3 + P3)</f>
        <v>0.53012048192771088</v>
      </c>
      <c r="O5" s="3"/>
      <c r="P5" s="3"/>
      <c r="Q5" s="3">
        <f t="shared" ref="Q5" si="9" xml:space="preserve"> Q3 / (Q3 + S3)</f>
        <v>0.46753246753246752</v>
      </c>
      <c r="R5" s="3"/>
      <c r="S5" s="3"/>
    </row>
  </sheetData>
  <mergeCells count="18"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9EDDF-666E-4054-8E78-4660159DA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rodada 1</vt:lpstr>
      <vt:lpstr>rodada 2</vt:lpstr>
      <vt:lpstr>rodada 3</vt:lpstr>
      <vt:lpstr>rodada 4</vt:lpstr>
      <vt:lpstr>rodada 5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2024-11-03T03:37:41Z</dcterms:modified>
</cp:coreProperties>
</file>